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315" activeTab="4"/>
  </bookViews>
  <sheets>
    <sheet name="Project Overview" sheetId="1" r:id="rId1"/>
    <sheet name="Test Plan" sheetId="2" r:id="rId2"/>
    <sheet name="Test Scenarios" sheetId="3" r:id="rId3"/>
    <sheet name="Test Cases" sheetId="4" r:id="rId4"/>
    <sheet name="Defect Log" sheetId="5" r:id="rId5"/>
    <sheet name="RTM" sheetId="6" r:id="rId6"/>
    <sheet name="Test Data" sheetId="7" r:id="rId7"/>
    <sheet name="Exploratory Charters" sheetId="8" r:id="rId8"/>
    <sheet name="Dashboard" sheetId="9" r:id="rId9"/>
  </sheets>
  <calcPr calcId="152511"/>
</workbook>
</file>

<file path=xl/calcChain.xml><?xml version="1.0" encoding="utf-8"?>
<calcChain xmlns="http://schemas.openxmlformats.org/spreadsheetml/2006/main">
  <c r="B23" i="9" l="1"/>
  <c r="B18" i="9"/>
  <c r="B17" i="9"/>
  <c r="B16" i="9"/>
  <c r="B15" i="9"/>
  <c r="B14" i="9"/>
  <c r="B13" i="9"/>
  <c r="B10" i="9"/>
  <c r="B9" i="9"/>
  <c r="E8" i="9"/>
  <c r="B8" i="9"/>
  <c r="E7" i="9"/>
  <c r="B7" i="9"/>
  <c r="E6" i="9"/>
  <c r="B6" i="9"/>
  <c r="E5" i="9"/>
  <c r="B5" i="9"/>
  <c r="E4" i="9"/>
  <c r="B4" i="9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<sst xmlns="http://schemas.openxmlformats.org/spreadsheetml/2006/main" count="1643" uniqueCount="879">
  <si>
    <t>Foodmandu Website Manual Testing Project</t>
  </si>
  <si>
    <t>Field</t>
  </si>
  <si>
    <t>Details</t>
  </si>
  <si>
    <t>Project</t>
  </si>
  <si>
    <t>Manual QA Testing of Foodmandu Web Application</t>
  </si>
  <si>
    <t>Target Website</t>
  </si>
  <si>
    <t>https://foodmandu.com/</t>
  </si>
  <si>
    <t>Project Type</t>
  </si>
  <si>
    <t>Portfolio-ready black-box manual testing project</t>
  </si>
  <si>
    <t>Scope</t>
  </si>
  <si>
    <t>In Scope</t>
  </si>
  <si>
    <t>Home page; restaurant/cuisine search; restaurant listing; filters/sorting; restaurant detail/menu; food-item search; authentication; registration; forgot password; cart; delivery details; order review; delivery charges; help/footer content; responsive behavior; accessibility smoke checks.</t>
  </si>
  <si>
    <t>Out of Scope</t>
  </si>
  <si>
    <t>Admin/back-office systems; restaurant partner portal; destructive testing; load testing; payment capture; placing real paid orders; social-login account creation without authorization.</t>
  </si>
  <si>
    <t>Safety Constraint</t>
  </si>
  <si>
    <t>Do not complete an order that creates a real charge or operational delivery unless you have explicit authorization and a disposable test account/address.</t>
  </si>
  <si>
    <t>Verified Public Product Notes Used for Test Design</t>
  </si>
  <si>
    <t>Source</t>
  </si>
  <si>
    <t>Verified public information</t>
  </si>
  <si>
    <t>Homepage exposes restaurant/cuisine search, featured restaurants, login, help links, and service hours.</t>
  </si>
  <si>
    <t>https://foodmandu.com/Restaurant/Index</t>
  </si>
  <si>
    <t>Restaurant listing exposes filters, cuisine filtering, sorting, and no-results states.</t>
  </si>
  <si>
    <t>https://foodmandu.com/Account/Login</t>
  </si>
  <si>
    <t>Login supports email/password, Remember Me, Facebook, Google, Sign Up, and Forgot Password.</t>
  </si>
  <si>
    <t>https://foodmandu.com/Account/register</t>
  </si>
  <si>
    <t>Registration asks for first name, last name, email, mobile, password, confirm password, and terms agreement.</t>
  </si>
  <si>
    <t>https://foodmandu.com/Home/HowToOrder</t>
  </si>
  <si>
    <t>Official flow describes choosing a restaurant, selecting food, entering delivery details/date/time, and confirming an order.</t>
  </si>
  <si>
    <t>https://foodmandu.com/Home/DeliveryCharge</t>
  </si>
  <si>
    <t>Published delivery charge: Rs. 20 up to 1 km, then additional Rs. 20/km; Foodmandu Fresh Rs. 100/order.</t>
  </si>
  <si>
    <t>Manual Test Plan</t>
  </si>
  <si>
    <t>1. Objective</t>
  </si>
  <si>
    <t>Verify that Foodmandu's customer-facing website supports reliable restaurant discovery, account access, menu browsing, cart/order preparation, delivery information, and supporting help content.</t>
  </si>
  <si>
    <t>2. Entry Criteria</t>
  </si>
  <si>
    <t>Website is reachable; test browser has internet access; no major outage; test data is available; tester understands that real order submission is excluded unless authorized.</t>
  </si>
  <si>
    <t>3. Exit Criteria</t>
  </si>
  <si>
    <t>All Critical/High-priority cases executed; no open Critical defects; major customer journeys covered; all defects recorded with reproducible steps and evidence.</t>
  </si>
  <si>
    <t>4. Test Techniques</t>
  </si>
  <si>
    <t>Equivalence partitioning, boundary value analysis, positive/negative testing, state transition checks, exploratory testing, error guessing, usability review, and responsive UI checks.</t>
  </si>
  <si>
    <t>5. Browsers / Devices</t>
  </si>
  <si>
    <t>Desktop: latest Chrome, Edge, Firefox. Mobile smoke: Chrome Android or responsive emulation at ~360x800 and ~390x844. Optional Safari/iOS if available.</t>
  </si>
  <si>
    <t>6. Test Data</t>
  </si>
  <si>
    <t>Use non-sensitive test names, disposable email where permitted, Nepali mobile-format examples, invalid/boundary inputs, and a safe delivery address only if proceeding to checkout without final submission.</t>
  </si>
  <si>
    <t>7. Defect Severity</t>
  </si>
  <si>
    <t>Critical: blocks ordering/login or causes data/security loss. High: major flow broken with no practical workaround. Medium: feature partially broken. Low: cosmetic/content/usability issue.</t>
  </si>
  <si>
    <t>8. Defect Priority</t>
  </si>
  <si>
    <t>P0 immediate; P1 high; P2 normal; P3 low.</t>
  </si>
  <si>
    <t>9. Risks</t>
  </si>
  <si>
    <t>Live restaurant availability changes; menu items/prices can change; geolocation/delivery values vary; client-side rendering may differ from indexed HTML; social login requires external accounts.</t>
  </si>
  <si>
    <t>10. Deliverables</t>
  </si>
  <si>
    <t>Test plan, scenarios, detailed test cases, RTM, test data, execution dashboard, exploratory charters, and defect log.</t>
  </si>
  <si>
    <t>Scenario ID</t>
  </si>
  <si>
    <t>Module</t>
  </si>
  <si>
    <t>Scenario</t>
  </si>
  <si>
    <t>Priority</t>
  </si>
  <si>
    <t>Test Type</t>
  </si>
  <si>
    <t>Coverage Goal</t>
  </si>
  <si>
    <t>TS-001</t>
  </si>
  <si>
    <t>Homepage</t>
  </si>
  <si>
    <t>Verify homepage loads and core navigation is available</t>
  </si>
  <si>
    <t>High</t>
  </si>
  <si>
    <t>Functional/UI</t>
  </si>
  <si>
    <t>Critical entry points</t>
  </si>
  <si>
    <t>TS-002</t>
  </si>
  <si>
    <t>Search</t>
  </si>
  <si>
    <t>Verify restaurant/cuisine search with valid keywords</t>
  </si>
  <si>
    <t>Critical</t>
  </si>
  <si>
    <t>Functional</t>
  </si>
  <si>
    <t>Discovery</t>
  </si>
  <si>
    <t>TS-003</t>
  </si>
  <si>
    <t>Verify search with invalid, empty, whitespace, and special-character input</t>
  </si>
  <si>
    <t>Negative/Boundary</t>
  </si>
  <si>
    <t>Validation</t>
  </si>
  <si>
    <t>TS-004</t>
  </si>
  <si>
    <t>Restaurant Listing</t>
  </si>
  <si>
    <t>Verify restaurant results display relevant information</t>
  </si>
  <si>
    <t>TS-005</t>
  </si>
  <si>
    <t>Verify cuisine filters and filter reset behavior</t>
  </si>
  <si>
    <t>Filtering</t>
  </si>
  <si>
    <t>TS-006</t>
  </si>
  <si>
    <t>Verify sorting behavior</t>
  </si>
  <si>
    <t>Medium</t>
  </si>
  <si>
    <t>Sorting</t>
  </si>
  <si>
    <t>TS-007</t>
  </si>
  <si>
    <t>Verify no-results state</t>
  </si>
  <si>
    <t>Negative/UI</t>
  </si>
  <si>
    <t>Error state</t>
  </si>
  <si>
    <t>TS-008</t>
  </si>
  <si>
    <t>Restaurant Detail</t>
  </si>
  <si>
    <t>Verify restaurant detail, delivery hours, fees, and menu information</t>
  </si>
  <si>
    <t>Restaurant selection</t>
  </si>
  <si>
    <t>TS-009</t>
  </si>
  <si>
    <t>Menu</t>
  </si>
  <si>
    <t>Verify menu category navigation and food-item search</t>
  </si>
  <si>
    <t>Menu discovery</t>
  </si>
  <si>
    <t>TS-010</t>
  </si>
  <si>
    <t>Cart</t>
  </si>
  <si>
    <t>Verify adding a food item to cart</t>
  </si>
  <si>
    <t>Cart creation</t>
  </si>
  <si>
    <t>TS-011</t>
  </si>
  <si>
    <t>Verify quantity update and removal</t>
  </si>
  <si>
    <t>Cart management</t>
  </si>
  <si>
    <t>TS-012</t>
  </si>
  <si>
    <t>Verify price calculations and totals</t>
  </si>
  <si>
    <t>Functional/Data</t>
  </si>
  <si>
    <t>Commerce accuracy</t>
  </si>
  <si>
    <t>TS-013</t>
  </si>
  <si>
    <t>Authentication</t>
  </si>
  <si>
    <t>Verify login positive and negative paths</t>
  </si>
  <si>
    <t>Functional/Negative</t>
  </si>
  <si>
    <t>Access</t>
  </si>
  <si>
    <t>TS-014</t>
  </si>
  <si>
    <t>Registration</t>
  </si>
  <si>
    <t>Verify registration validation and account creation flow</t>
  </si>
  <si>
    <t>Functional/Boundary</t>
  </si>
  <si>
    <t>Account creation</t>
  </si>
  <si>
    <t>TS-015</t>
  </si>
  <si>
    <t>Forgot Password</t>
  </si>
  <si>
    <t>Verify forgot-password validation and feedback</t>
  </si>
  <si>
    <t>Recovery</t>
  </si>
  <si>
    <t>TS-016</t>
  </si>
  <si>
    <t>Checkout</t>
  </si>
  <si>
    <t>Verify delivery detail fields and validations</t>
  </si>
  <si>
    <t>Order preparation</t>
  </si>
  <si>
    <t>TS-017</t>
  </si>
  <si>
    <t>Verify order review before final confirmation</t>
  </si>
  <si>
    <t>Order accuracy</t>
  </si>
  <si>
    <t>TS-018</t>
  </si>
  <si>
    <t>Delivery</t>
  </si>
  <si>
    <t>Verify published delivery-charge rules and presentation</t>
  </si>
  <si>
    <t>Functional/Content</t>
  </si>
  <si>
    <t>Fee transparency</t>
  </si>
  <si>
    <t>TS-019</t>
  </si>
  <si>
    <t>Help &amp; Content</t>
  </si>
  <si>
    <t>Verify About, FAQs, How to Order, Terms, Privacy, Contact links</t>
  </si>
  <si>
    <t>Content/Navigation</t>
  </si>
  <si>
    <t>Trust/support</t>
  </si>
  <si>
    <t>TS-020</t>
  </si>
  <si>
    <t>Responsive UI</t>
  </si>
  <si>
    <t>Verify primary flows at desktop and mobile widths</t>
  </si>
  <si>
    <t>Compatibility/UI</t>
  </si>
  <si>
    <t>Responsive use</t>
  </si>
  <si>
    <t>TS-021</t>
  </si>
  <si>
    <t>Accessibility</t>
  </si>
  <si>
    <t>Run keyboard, focus, labels, contrast, and zoom smoke checks</t>
  </si>
  <si>
    <t>Basic WCAG-oriented checks</t>
  </si>
  <si>
    <t>TS-022</t>
  </si>
  <si>
    <t>Security Smoke</t>
  </si>
  <si>
    <t>Verify password masking, error-message leakage, HTTPS, and basic input handling</t>
  </si>
  <si>
    <t>Security/Negative</t>
  </si>
  <si>
    <t>Black-box security smoke</t>
  </si>
  <si>
    <t>TS-023</t>
  </si>
  <si>
    <t>Session</t>
  </si>
  <si>
    <t>Verify Remember Me, logout/session behavior where available</t>
  </si>
  <si>
    <t>Functional/Security</t>
  </si>
  <si>
    <t>Session handling</t>
  </si>
  <si>
    <t>TS-024</t>
  </si>
  <si>
    <t>External Auth</t>
  </si>
  <si>
    <t>Verify Google/Facebook auth entry points open correctly without completing unauthorized signup</t>
  </si>
  <si>
    <t>Integration</t>
  </si>
  <si>
    <t>External auth</t>
  </si>
  <si>
    <t>TS-025</t>
  </si>
  <si>
    <t>Exploratory</t>
  </si>
  <si>
    <t>Explore customer journey from search to pre-confirmation checkout</t>
  </si>
  <si>
    <t>End-to-end risk discovery</t>
  </si>
  <si>
    <t>TC ID</t>
  </si>
  <si>
    <t>Test Case</t>
  </si>
  <si>
    <t>Preconditions</t>
  </si>
  <si>
    <t>Steps</t>
  </si>
  <si>
    <t>Test Data</t>
  </si>
  <si>
    <t>Expected Result</t>
  </si>
  <si>
    <t>Type</t>
  </si>
  <si>
    <t>Status</t>
  </si>
  <si>
    <t>Actual Result</t>
  </si>
  <si>
    <t>Defect ID</t>
  </si>
  <si>
    <t>Notes</t>
  </si>
  <si>
    <t>TC-001</t>
  </si>
  <si>
    <t>Open Foodmandu homepage</t>
  </si>
  <si>
    <t>Internet available</t>
  </si>
  <si>
    <t>1. Navigate to https://foodmandu.com/ 2. Observe page load</t>
  </si>
  <si>
    <t>N/A</t>
  </si>
  <si>
    <t>Homepage loads without fatal error; branding, search, featured restaurants, Login and footer/help links are available.</t>
  </si>
  <si>
    <t>Smoke</t>
  </si>
  <si>
    <t>Pass</t>
  </si>
  <si>
    <t>TC-002</t>
  </si>
  <si>
    <t>Verify restaurant/cuisine search input is visible</t>
  </si>
  <si>
    <t>Homepage loaded</t>
  </si>
  <si>
    <t>Locate main search control</t>
  </si>
  <si>
    <t>Search field and Find Restaurants action are visible and usable.</t>
  </si>
  <si>
    <t>UI</t>
  </si>
  <si>
    <t>TC-003</t>
  </si>
  <si>
    <t>Open a featured restaurant</t>
  </si>
  <si>
    <t>Select one featured restaurant card</t>
  </si>
  <si>
    <t>Any visible featured restaurant</t>
  </si>
  <si>
    <t>Restaurant detail page opens for the selected restaurant.</t>
  </si>
  <si>
    <t>Navigation</t>
  </si>
  <si>
    <t>TC-004</t>
  </si>
  <si>
    <t>Verify footer help links</t>
  </si>
  <si>
    <t>Open About Us, Delivery Charges, How to Order, FAQs, Contact, Terms, Privacy one by one</t>
  </si>
  <si>
    <t>Each link routes to the intended page without 404/error.</t>
  </si>
  <si>
    <t>TC-005</t>
  </si>
  <si>
    <t>Verify service hours display</t>
  </si>
  <si>
    <t>Scroll to footer and read service hours</t>
  </si>
  <si>
    <t>Service hours are displayed consistently and legibly.</t>
  </si>
  <si>
    <t>Low</t>
  </si>
  <si>
    <t>Content</t>
  </si>
  <si>
    <t>TC-006</t>
  </si>
  <si>
    <t>Search by restaurant name</t>
  </si>
  <si>
    <t>Enter known restaurant name; submit search</t>
  </si>
  <si>
    <t>Fire And Ice</t>
  </si>
  <si>
    <t>Relevant matching restaurant(s) appear.</t>
  </si>
  <si>
    <t>TC-007</t>
  </si>
  <si>
    <t>Search by cuisine</t>
  </si>
  <si>
    <t>Enter cuisine keyword; submit</t>
  </si>
  <si>
    <t>Pizza</t>
  </si>
  <si>
    <t>Results include restaurants/products relevant to pizza.</t>
  </si>
  <si>
    <t>TC-008</t>
  </si>
  <si>
    <t>Search is case-insensitive</t>
  </si>
  <si>
    <t>Search same keyword using different casing</t>
  </si>
  <si>
    <t>pizza / PIZZA</t>
  </si>
  <si>
    <t>Results are logically equivalent or search handles casing gracefully.</t>
  </si>
  <si>
    <t>TC-009</t>
  </si>
  <si>
    <t>Search with empty input</t>
  </si>
  <si>
    <t>Leave search empty; submit</t>
  </si>
  <si>
    <t>Blank</t>
  </si>
  <si>
    <t>System prevents meaningless search or returns a sensible default/list without error.</t>
  </si>
  <si>
    <t>Negative</t>
  </si>
  <si>
    <t>TC-010</t>
  </si>
  <si>
    <t>Search with spaces only</t>
  </si>
  <si>
    <t>Enter spaces; submit</t>
  </si>
  <si>
    <t>238</t>
  </si>
  <si>
    <t>Whitespace is trimmed or handled without crash.</t>
  </si>
  <si>
    <t>TC-011</t>
  </si>
  <si>
    <t>Search with special characters</t>
  </si>
  <si>
    <t>Enter special characters; submit</t>
  </si>
  <si>
    <t>@#$%^</t>
  </si>
  <si>
    <t>No script/error leakage; safe no-results or sanitized behavior.</t>
  </si>
  <si>
    <t>TC-012</t>
  </si>
  <si>
    <t>Search with long input</t>
  </si>
  <si>
    <t>Paste a 250-character query; submit</t>
  </si>
  <si>
    <t>250-char string</t>
  </si>
  <si>
    <t>UI remains stable; input is bounded/handled; no server error.</t>
  </si>
  <si>
    <t>Boundary</t>
  </si>
  <si>
    <t>TC-013</t>
  </si>
  <si>
    <t>Search with common injection-like string</t>
  </si>
  <si>
    <t>Enter harmless SQL-like text as plain input</t>
  </si>
  <si>
    <t xml:space="preserve"> OR 1=1 --</t>
  </si>
  <si>
    <t>Input is treated as text; no sensitive error or unexpected data exposure.</t>
  </si>
  <si>
    <t>TC-014</t>
  </si>
  <si>
    <t>Verify restaurant result cards</t>
  </si>
  <si>
    <t>Restaurant listing loaded</t>
  </si>
  <si>
    <t>Inspect several result cards</t>
  </si>
  <si>
    <t>Cards display useful restaurant identity/location/cuisine data without broken placeholders.</t>
  </si>
  <si>
    <t>TC-015</t>
  </si>
  <si>
    <t>Filter by one cuisine</t>
  </si>
  <si>
    <t>Select one cuisine filter; apply</t>
  </si>
  <si>
    <t>Only matching/relevant restaurants remain or filter behavior is clearly reflected.</t>
  </si>
  <si>
    <t>TC-016</t>
  </si>
  <si>
    <t>Apply multiple filters if supported</t>
  </si>
  <si>
    <t>Select more than one available filter; apply</t>
  </si>
  <si>
    <t>Two available cuisines/options</t>
  </si>
  <si>
    <t>Results reflect combined filter logic without error.</t>
  </si>
  <si>
    <t>TC-017</t>
  </si>
  <si>
    <t>Clear/reset filters</t>
  </si>
  <si>
    <t>Filter applied</t>
  </si>
  <si>
    <t>Clear filters or restore default</t>
  </si>
  <si>
    <t>Full/default result set returns.</t>
  </si>
  <si>
    <t>TC-018</t>
  </si>
  <si>
    <t>Change sort option</t>
  </si>
  <si>
    <t>Choose a different Sort By option</t>
  </si>
  <si>
    <t>Any non-default option</t>
  </si>
  <si>
    <t>List order changes according to selected sort rule.</t>
  </si>
  <si>
    <t>TC-019</t>
  </si>
  <si>
    <t>Verify no-results message</t>
  </si>
  <si>
    <t>Use unlikely search/filter combination</t>
  </si>
  <si>
    <t>zzzz_nonexistent_987</t>
  </si>
  <si>
    <t>Clear no-results feedback is shown and page remains usable.</t>
  </si>
  <si>
    <t>TC-020</t>
  </si>
  <si>
    <t>Open restaurant from result list</t>
  </si>
  <si>
    <t>Results visible</t>
  </si>
  <si>
    <t>Select a restaurant result</t>
  </si>
  <si>
    <t>Any open restaurant</t>
  </si>
  <si>
    <t>Correct restaurant detail page opens.</t>
  </si>
  <si>
    <t>TC-021</t>
  </si>
  <si>
    <t>Verify restaurant delivery hours</t>
  </si>
  <si>
    <t>Restaurant page loaded</t>
  </si>
  <si>
    <t>Inspect delivery hours summary and weekly hours</t>
  </si>
  <si>
    <t>Hours are displayed clearly and do not contradict within the same page.</t>
  </si>
  <si>
    <t>TC-022</t>
  </si>
  <si>
    <t>Verify minimum order format</t>
  </si>
  <si>
    <t>Inspect minimum-order field</t>
  </si>
  <si>
    <t>A valid currency value or clear 'No minimum' message is shown; malformed values such as 'Rs. .00' are not shown.</t>
  </si>
  <si>
    <t>Data/UI</t>
  </si>
  <si>
    <t>Fail</t>
  </si>
  <si>
    <t>TC-023</t>
  </si>
  <si>
    <t>Verify service charge and VAT labels</t>
  </si>
  <si>
    <t>Inspect service charge and VAT values</t>
  </si>
  <si>
    <t>Each displays a valid percentage/value or clear N/A consistently.</t>
  </si>
  <si>
    <t>TC-024</t>
  </si>
  <si>
    <t>Search food items within restaurant</t>
  </si>
  <si>
    <t>Use Search Food Items with known menu keyword</t>
  </si>
  <si>
    <t>Matching menu items are filtered/displayed.</t>
  </si>
  <si>
    <t>TC-025</t>
  </si>
  <si>
    <t>Food-item search no-results state</t>
  </si>
  <si>
    <t>Search a non-existent item</t>
  </si>
  <si>
    <t>zzzz123</t>
  </si>
  <si>
    <t>Clear no-results feedback; no crash.</t>
  </si>
  <si>
    <t>TC-026</t>
  </si>
  <si>
    <t>Navigate menu categories</t>
  </si>
  <si>
    <t>Restaurant page with categories loaded</t>
  </si>
  <si>
    <t>Select category/subcategory</t>
  </si>
  <si>
    <t>Any available category</t>
  </si>
  <si>
    <t>Menu moves/filters to chosen category correctly.</t>
  </si>
  <si>
    <t>TC-027</t>
  </si>
  <si>
    <t>Verify item price presentation</t>
  </si>
  <si>
    <t>Inspect several food items</t>
  </si>
  <si>
    <t>Prices use consistent NPR/Rs. formatting and no raw template placeholders are visible.</t>
  </si>
  <si>
    <t>TC-028</t>
  </si>
  <si>
    <t>Verify restaurant close state</t>
  </si>
  <si>
    <t>Open a closed restaurant if available</t>
  </si>
  <si>
    <t>Inspect ordering controls</t>
  </si>
  <si>
    <t>Closed restaurant</t>
  </si>
  <si>
    <t>Closed status is clear; ordering unavailable or appropriately constrained.</t>
  </si>
  <si>
    <t>State Transition</t>
  </si>
  <si>
    <t>TC-029</t>
  </si>
  <si>
    <t>Verify branch links</t>
  </si>
  <si>
    <t>Restaurant with branches if available</t>
  </si>
  <si>
    <t>Open another branch</t>
  </si>
  <si>
    <t>Correct branch restaurant page opens; branch identity is clear.</t>
  </si>
  <si>
    <t>TC-030</t>
  </si>
  <si>
    <t>Add one available food item to cart</t>
  </si>
  <si>
    <t>Open restaurant; item available</t>
  </si>
  <si>
    <t>Click Add/plus action for one item</t>
  </si>
  <si>
    <t>1 menu item</t>
  </si>
  <si>
    <t>Cart is created and selected item appears with correct name, price, quantity.</t>
  </si>
  <si>
    <t>TC-031</t>
  </si>
  <si>
    <t>Add multiple different items</t>
  </si>
  <si>
    <t>Cart has one item</t>
  </si>
  <si>
    <t>Add two different items</t>
  </si>
  <si>
    <t>3 distinct items</t>
  </si>
  <si>
    <t>All items appear without duplication/corruption.</t>
  </si>
  <si>
    <t>TC-032</t>
  </si>
  <si>
    <t>Increase item quantity</t>
  </si>
  <si>
    <t>Cart contains item</t>
  </si>
  <si>
    <t>Increase quantity once</t>
  </si>
  <si>
    <t>Qty 1 -&gt; 2</t>
  </si>
  <si>
    <t>Quantity becomes 2 and line subtotal updates.</t>
  </si>
  <si>
    <t>TC-033</t>
  </si>
  <si>
    <t>Decrease item quantity</t>
  </si>
  <si>
    <t>Item quantity &gt; 1</t>
  </si>
  <si>
    <t>Decrease quantity</t>
  </si>
  <si>
    <t>Qty 2 -&gt; 1</t>
  </si>
  <si>
    <t>Quantity decreases and totals update.</t>
  </si>
  <si>
    <t>TC-034</t>
  </si>
  <si>
    <t>Remove item from cart</t>
  </si>
  <si>
    <t>Use remove/delete action</t>
  </si>
  <si>
    <t>Item is removed and total recalculates.</t>
  </si>
  <si>
    <t>TC-035</t>
  </si>
  <si>
    <t>Remove final item</t>
  </si>
  <si>
    <t>Cart contains exactly one item</t>
  </si>
  <si>
    <t>Cart becomes empty and appropriate empty-cart state is shown.</t>
  </si>
  <si>
    <t>TC-036</t>
  </si>
  <si>
    <t>Verify line subtotal calculation</t>
  </si>
  <si>
    <t>Cart contains quantity &gt;1</t>
  </si>
  <si>
    <t>Compare item price x quantity with subtotal</t>
  </si>
  <si>
    <t>Price 250, Qty 2</t>
  </si>
  <si>
    <t>Displayed subtotal equals price × quantity.</t>
  </si>
  <si>
    <t>Data</t>
  </si>
  <si>
    <t>TC-037</t>
  </si>
  <si>
    <t>Verify order subtotal after multiple items</t>
  </si>
  <si>
    <t>Cart has multiple items</t>
  </si>
  <si>
    <t>Manually sum line subtotals and compare</t>
  </si>
  <si>
    <t>Order subtotal equals sum of line subtotals.</t>
  </si>
  <si>
    <t>TC-038</t>
  </si>
  <si>
    <t>Verify cart persists during normal navigation</t>
  </si>
  <si>
    <t>Cart contains items</t>
  </si>
  <si>
    <t>Navigate to another page then return to cart</t>
  </si>
  <si>
    <t>Cart remains intact within expected session behavior.</t>
  </si>
  <si>
    <t>TC-039</t>
  </si>
  <si>
    <t>Attempt adding item from another restaurant</t>
  </si>
  <si>
    <t>Cart already contains first restaurant item</t>
  </si>
  <si>
    <t>Open another restaurant and add item</t>
  </si>
  <si>
    <t>Two different restaurants</t>
  </si>
  <si>
    <t>System follows its business rule clearly, e.g. warns/replaces/separates cart without silent data loss.</t>
  </si>
  <si>
    <t>Business Rule</t>
  </si>
  <si>
    <t>TC-040</t>
  </si>
  <si>
    <t>Login with valid credentials</t>
  </si>
  <si>
    <t>Registered test account exists</t>
  </si>
  <si>
    <t>Enter valid email/password; login</t>
  </si>
  <si>
    <t>Authorized test account</t>
  </si>
  <si>
    <t>User is authenticated and redirected appropriately.</t>
  </si>
  <si>
    <t>Positive</t>
  </si>
  <si>
    <t>TC-041</t>
  </si>
  <si>
    <t>Login with invalid password</t>
  </si>
  <si>
    <t>Known email</t>
  </si>
  <si>
    <t>Enter correct email and wrong password</t>
  </si>
  <si>
    <t>Wrong password</t>
  </si>
  <si>
    <t>Login fails with clear non-sensitive error.</t>
  </si>
  <si>
    <t>TC-042</t>
  </si>
  <si>
    <t>Login with invalid email format</t>
  </si>
  <si>
    <t>Login page loaded</t>
  </si>
  <si>
    <t>Enter malformed email and any password</t>
  </si>
  <si>
    <t>abc@</t>
  </si>
  <si>
    <t>Validation prevents/flags invalid email.</t>
  </si>
  <si>
    <t>TC-043</t>
  </si>
  <si>
    <t>Login with blank fields</t>
  </si>
  <si>
    <t>Submit both fields blank</t>
  </si>
  <si>
    <t>Required-field feedback is shown.</t>
  </si>
  <si>
    <t>TC-044</t>
  </si>
  <si>
    <t>Password field masking</t>
  </si>
  <si>
    <t>Type password</t>
  </si>
  <si>
    <t>Secret123!</t>
  </si>
  <si>
    <t>Password characters are masked.</t>
  </si>
  <si>
    <t>Security/UI</t>
  </si>
  <si>
    <t>TC-045</t>
  </si>
  <si>
    <t>Remember Me checkbox</t>
  </si>
  <si>
    <t>Valid account</t>
  </si>
  <si>
    <t>Select Remember Me and login; close/reopen browser according to safe test</t>
  </si>
  <si>
    <t>Session persistence matches intended behavior without exposing credentials.</t>
  </si>
  <si>
    <t>TC-046</t>
  </si>
  <si>
    <t>Logout ends session</t>
  </si>
  <si>
    <t>Authenticated</t>
  </si>
  <si>
    <t>Logout; use browser back; revisit account area</t>
  </si>
  <si>
    <t>Protected account state is no longer accessible after logout.</t>
  </si>
  <si>
    <t>Security/Session</t>
  </si>
  <si>
    <t>TC-047</t>
  </si>
  <si>
    <t>Google login entry point</t>
  </si>
  <si>
    <t>Click Google login; stop before unauthorized account creation if needed</t>
  </si>
  <si>
    <t>Google authentication flow opens correctly over HTTPS.</t>
  </si>
  <si>
    <t>TC-048</t>
  </si>
  <si>
    <t>Facebook login entry point</t>
  </si>
  <si>
    <t>Click Facebook login; stop before unauthorized account creation if needed</t>
  </si>
  <si>
    <t>Facebook authentication flow opens correctly over HTTPS.</t>
  </si>
  <si>
    <t>TC-049</t>
  </si>
  <si>
    <t>Registration required fields</t>
  </si>
  <si>
    <t>Registration page loaded</t>
  </si>
  <si>
    <t>Submit form with all fields blank</t>
  </si>
  <si>
    <t>Required fields are identified; account is not created.</t>
  </si>
  <si>
    <t>TC-050</t>
  </si>
  <si>
    <t>Valid registration data</t>
  </si>
  <si>
    <t>Disposable/authorized test email and mobile available</t>
  </si>
  <si>
    <t>Enter valid values and submit only if authorized</t>
  </si>
  <si>
    <t>Valid test identity</t>
  </si>
  <si>
    <t>Valid form passes field validation and proceeds according to expected account-creation flow.</t>
  </si>
  <si>
    <t>TC-051</t>
  </si>
  <si>
    <t>First name numeric/special input</t>
  </si>
  <si>
    <t>Enter invalid name characters</t>
  </si>
  <si>
    <t>123@@</t>
  </si>
  <si>
    <t>Validation handles invalid/unreasonable name input without error.</t>
  </si>
  <si>
    <t>TC-052</t>
  </si>
  <si>
    <t>Invalid email formats</t>
  </si>
  <si>
    <t>Try malformed emails</t>
  </si>
  <si>
    <t>abc, a@, @mail.com</t>
  </si>
  <si>
    <t>Invalid formats are rejected.</t>
  </si>
  <si>
    <t>Equivalence</t>
  </si>
  <si>
    <t>TC-053</t>
  </si>
  <si>
    <t>Mobile number too short</t>
  </si>
  <si>
    <t>Enter shorter-than-expected mobile</t>
  </si>
  <si>
    <t>980123</t>
  </si>
  <si>
    <t>Validation rejects invalid length.</t>
  </si>
  <si>
    <t>TC-054</t>
  </si>
  <si>
    <t>Mobile number non-numeric</t>
  </si>
  <si>
    <t>Enter letters/symbols</t>
  </si>
  <si>
    <t>98ABCD1234</t>
  </si>
  <si>
    <t>Validation rejects invalid phone format.</t>
  </si>
  <si>
    <t>TC-055</t>
  </si>
  <si>
    <t>Password/confirm mismatch</t>
  </si>
  <si>
    <t>Enter different password and confirmation</t>
  </si>
  <si>
    <t>Secret123! / Secret124!</t>
  </si>
  <si>
    <t>Mismatch is detected; account is not created.</t>
  </si>
  <si>
    <t>TC-056</t>
  </si>
  <si>
    <t>Weak/short password boundary</t>
  </si>
  <si>
    <t>Try weak/very short password</t>
  </si>
  <si>
    <t>123</t>
  </si>
  <si>
    <t>Policy is enforced or user receives clear guidance.</t>
  </si>
  <si>
    <t>Boundary/Security</t>
  </si>
  <si>
    <t>TC-057</t>
  </si>
  <si>
    <t>Terms and privacy links</t>
  </si>
  <si>
    <t>Open Terms and Privacy links from agreement text</t>
  </si>
  <si>
    <t>Correct legal pages open.</t>
  </si>
  <si>
    <t>TC-058</t>
  </si>
  <si>
    <t>Forgot-password page opens</t>
  </si>
  <si>
    <t>Click Forgot Password</t>
  </si>
  <si>
    <t>Recovery page opens with email field and Send Link action.</t>
  </si>
  <si>
    <t>TC-059</t>
  </si>
  <si>
    <t>Submit valid registered email</t>
  </si>
  <si>
    <t>Authorized test account exists</t>
  </si>
  <si>
    <t>Enter registered email; send link</t>
  </si>
  <si>
    <t>Test account email</t>
  </si>
  <si>
    <t>Non-sensitive confirmation is shown and recovery email is handled as designed.</t>
  </si>
  <si>
    <t>TC-060</t>
  </si>
  <si>
    <t>Submit invalid email format</t>
  </si>
  <si>
    <t>Forgot Password page loaded</t>
  </si>
  <si>
    <t>Enter malformed email; submit</t>
  </si>
  <si>
    <t>Validation feedback is shown.</t>
  </si>
  <si>
    <t>TC-061</t>
  </si>
  <si>
    <t>Submit blank email</t>
  </si>
  <si>
    <t>Submit empty field</t>
  </si>
  <si>
    <t>TC-062</t>
  </si>
  <si>
    <t>Unknown email does not leak account existence</t>
  </si>
  <si>
    <t>Enter an unregistered but valid-format email</t>
  </si>
  <si>
    <t>unused@example.com</t>
  </si>
  <si>
    <t>Response avoids unnecessary account enumeration detail.</t>
  </si>
  <si>
    <t>Security</t>
  </si>
  <si>
    <t>TC-063</t>
  </si>
  <si>
    <t>Proceed from cart to checkout/pre-confirmation</t>
  </si>
  <si>
    <t>Continue toward delivery/order details; stop before real order submission</t>
  </si>
  <si>
    <t>Checkout/delivery page opens and cart contents are retained.</t>
  </si>
  <si>
    <t>TC-064</t>
  </si>
  <si>
    <t>Required delivery fields validation</t>
  </si>
  <si>
    <t>Checkout page loaded</t>
  </si>
  <si>
    <t>Leave required address/contact fields blank; continue</t>
  </si>
  <si>
    <t>Required fields are flagged and order is not finalized.</t>
  </si>
  <si>
    <t>TC-065</t>
  </si>
  <si>
    <t>Valid Nepali mobile number</t>
  </si>
  <si>
    <t>Enter valid-format test mobile</t>
  </si>
  <si>
    <t>9801234567</t>
  </si>
  <si>
    <t>Mobile field accepts valid format.</t>
  </si>
  <si>
    <t>TC-066</t>
  </si>
  <si>
    <t>Invalid mobile number boundary</t>
  </si>
  <si>
    <t>Enter too short/long value</t>
  </si>
  <si>
    <t>9801 / 980123456789</t>
  </si>
  <si>
    <t>Invalid length is rejected or clearly flagged.</t>
  </si>
  <si>
    <t>TC-067</t>
  </si>
  <si>
    <t>Delivery address long text</t>
  </si>
  <si>
    <t>Enter long but reasonable address</t>
  </si>
  <si>
    <t>150-char address</t>
  </si>
  <si>
    <t>Field handles long address without layout break or truncation that loses critical data.</t>
  </si>
  <si>
    <t>Boundary/UI</t>
  </si>
  <si>
    <t>TC-068</t>
  </si>
  <si>
    <t>Delivery date/time validation</t>
  </si>
  <si>
    <t>Checkout supports schedule fields</t>
  </si>
  <si>
    <t>Try available/invalid boundary values</t>
  </si>
  <si>
    <t>Past vs available future time</t>
  </si>
  <si>
    <t>Unavailable or past delivery time is prevented; valid slots accepted.</t>
  </si>
  <si>
    <t>TC-069</t>
  </si>
  <si>
    <t>Review item list before confirmation</t>
  </si>
  <si>
    <t>Checkout/pre-confirmation loaded</t>
  </si>
  <si>
    <t>Compare review with cart</t>
  </si>
  <si>
    <t>Items, quantities and prices match cart.</t>
  </si>
  <si>
    <t>TC-070</t>
  </si>
  <si>
    <t>Review customer delivery details</t>
  </si>
  <si>
    <t>Compare displayed details with entered values</t>
  </si>
  <si>
    <t>Address/contact/time are accurate before confirmation.</t>
  </si>
  <si>
    <t>TC-071</t>
  </si>
  <si>
    <t>Prevent accidental duplicate final submission</t>
  </si>
  <si>
    <t>Authorized test environment only; otherwise do not execute</t>
  </si>
  <si>
    <t>Double-click final confirm only in authorized non-operational environment</t>
  </si>
  <si>
    <t>System prevents duplicate order creation or provides safe idempotent behavior.</t>
  </si>
  <si>
    <t>Reliability</t>
  </si>
  <si>
    <t>TC-072</t>
  </si>
  <si>
    <t>Verify delivery charge page values</t>
  </si>
  <si>
    <t>Delivery Charge page loaded</t>
  </si>
  <si>
    <t>Read published rule</t>
  </si>
  <si>
    <t>Up to 1 km Rs.20; after 1 km +Rs.20/km</t>
  </si>
  <si>
    <t>Rules are visible and unambiguous.</t>
  </si>
  <si>
    <t>TC-073</t>
  </si>
  <si>
    <t>Verify Foodmandu Fresh charge</t>
  </si>
  <si>
    <t>Read Fresh charge</t>
  </si>
  <si>
    <t>Rs.100/order</t>
  </si>
  <si>
    <t>Fresh delivery charge is displayed clearly.</t>
  </si>
  <si>
    <t>TC-074</t>
  </si>
  <si>
    <t>Verify checkout fee matches published rule where testable</t>
  </si>
  <si>
    <t>Checkout estimates delivery fee</t>
  </si>
  <si>
    <t>Compare displayed fee with distance/rule if data permits</t>
  </si>
  <si>
    <t>Known test address</t>
  </si>
  <si>
    <t>Fee presentation is consistent with published policy or explains exceptions.</t>
  </si>
  <si>
    <t>TC-075</t>
  </si>
  <si>
    <t>Verify currency formatting</t>
  </si>
  <si>
    <t>Delivery page/checkout loaded</t>
  </si>
  <si>
    <t>Inspect fee values</t>
  </si>
  <si>
    <t>NPR/Rs. values are consistently formatted; no malformed decimal values.</t>
  </si>
  <si>
    <t>UI/Data</t>
  </si>
  <si>
    <t>TC-076</t>
  </si>
  <si>
    <t>How to Order content opens</t>
  </si>
  <si>
    <t>Homepage/footer available</t>
  </si>
  <si>
    <t>Open How to Order</t>
  </si>
  <si>
    <t>Instructions page loads and describes current ordering process clearly.</t>
  </si>
  <si>
    <t>TC-077</t>
  </si>
  <si>
    <t>FAQ content renders</t>
  </si>
  <si>
    <t>Open FAQs</t>
  </si>
  <si>
    <t>FAQ questions/answers render; raw template placeholders are not visible.</t>
  </si>
  <si>
    <t>Content/UI</t>
  </si>
  <si>
    <t>TC-078</t>
  </si>
  <si>
    <t>Contact page opens</t>
  </si>
  <si>
    <t>Open Contact Us</t>
  </si>
  <si>
    <t>Contact information/form content loads without error.</t>
  </si>
  <si>
    <t>TC-079</t>
  </si>
  <si>
    <t>Terms page content is current</t>
  </si>
  <si>
    <t>Terms page loaded</t>
  </si>
  <si>
    <t>Review ordering/payment statements and footer date</t>
  </si>
  <si>
    <t>Legal/content statements do not materially contradict current product behavior and dated content is maintained appropriately.</t>
  </si>
  <si>
    <t>TC-080</t>
  </si>
  <si>
    <t>Privacy Policy link opens</t>
  </si>
  <si>
    <t>Footer loaded</t>
  </si>
  <si>
    <t>Open Privacy Policy</t>
  </si>
  <si>
    <t>Privacy page opens over HTTPS.</t>
  </si>
  <si>
    <t>TC-081</t>
  </si>
  <si>
    <t>Broken-link smoke test</t>
  </si>
  <si>
    <t>Public pages loaded</t>
  </si>
  <si>
    <t>Open major header/footer/internal links manually</t>
  </si>
  <si>
    <t>No critical navigation link returns 404/500 or dead end.</t>
  </si>
  <si>
    <t>TC-082</t>
  </si>
  <si>
    <t>Homepage at 360px width</t>
  </si>
  <si>
    <t>Browser responsive mode</t>
  </si>
  <si>
    <t>Set viewport ~360x800; inspect header/search/cards/footer</t>
  </si>
  <si>
    <t>360x800</t>
  </si>
  <si>
    <t>No horizontal overflow or unusable overlapping controls.</t>
  </si>
  <si>
    <t>Responsive</t>
  </si>
  <si>
    <t>TC-083</t>
  </si>
  <si>
    <t>Restaurant detail at 390px width</t>
  </si>
  <si>
    <t>Set viewport ~390x844; browse menu</t>
  </si>
  <si>
    <t>390x844</t>
  </si>
  <si>
    <t>Menu text, prices, search and add controls remain readable/tappable.</t>
  </si>
  <si>
    <t>TC-084</t>
  </si>
  <si>
    <t>Checkout at mobile width</t>
  </si>
  <si>
    <t>Checkout pre-confirmation loaded</t>
  </si>
  <si>
    <t>Set mobile viewport; inspect fields and buttons</t>
  </si>
  <si>
    <t>Fields, keyboard-sensitive controls and CTA remain usable without clipping.</t>
  </si>
  <si>
    <t>TC-085</t>
  </si>
  <si>
    <t>Desktop zoom 200%</t>
  </si>
  <si>
    <t>Any key page loaded</t>
  </si>
  <si>
    <t>Set browser zoom to 200%</t>
  </si>
  <si>
    <t>200%</t>
  </si>
  <si>
    <t>Core content remains readable and operable with limited/no loss of functionality.</t>
  </si>
  <si>
    <t>Accessibility/UI</t>
  </si>
  <si>
    <t>TC-086</t>
  </si>
  <si>
    <t>Keyboard-only navigation</t>
  </si>
  <si>
    <t>Homepage/login/listing</t>
  </si>
  <si>
    <t>Use Tab/Shift+Tab/Enter without mouse</t>
  </si>
  <si>
    <t>Interactive controls are reachable in logical order and activation works.</t>
  </si>
  <si>
    <t>TC-087</t>
  </si>
  <si>
    <t>Visible focus indicator</t>
  </si>
  <si>
    <t>Key pages loaded</t>
  </si>
  <si>
    <t>Tab through controls</t>
  </si>
  <si>
    <t>Current keyboard focus is visibly identifiable.</t>
  </si>
  <si>
    <t>TC-088</t>
  </si>
  <si>
    <t>Form labels associated with inputs</t>
  </si>
  <si>
    <t>Login/register/checkout loaded</t>
  </si>
  <si>
    <t>Inspect labels and click label text / use accessibility tree if available</t>
  </si>
  <si>
    <t>Inputs have meaningful accessible labels; required state is understandable.</t>
  </si>
  <si>
    <t>TC-089</t>
  </si>
  <si>
    <t>Images have meaningful alternatives where needed</t>
  </si>
  <si>
    <t>Homepage/restaurant page loaded</t>
  </si>
  <si>
    <t>Inspect key images via browser accessibility tooling</t>
  </si>
  <si>
    <t>Meaningful images have useful alt text; decorative images do not create noise.</t>
  </si>
  <si>
    <t>TC-090</t>
  </si>
  <si>
    <t>HTTPS on authentication pages</t>
  </si>
  <si>
    <t>Login/register loaded</t>
  </si>
  <si>
    <t>Inspect URL and certificate indicator</t>
  </si>
  <si>
    <t>Pages use HTTPS without mixed-content blocking.</t>
  </si>
  <si>
    <t>TC-091</t>
  </si>
  <si>
    <t>No sensitive stack traces in validation errors</t>
  </si>
  <si>
    <t>Login/search/register loaded</t>
  </si>
  <si>
    <t>Trigger harmless invalid inputs</t>
  </si>
  <si>
    <t>Invalid inputs</t>
  </si>
  <si>
    <t>Errors are user-friendly and do not expose stack traces, SQL, paths, or secrets.</t>
  </si>
  <si>
    <t>TC-092</t>
  </si>
  <si>
    <t>HTML/script-like input is safely handled</t>
  </si>
  <si>
    <t>Search or non-sensitive text field</t>
  </si>
  <si>
    <t>Enter harmless markup-like text</t>
  </si>
  <si>
    <t>&lt;script&gt;alert(1)&lt;/script&gt;</t>
  </si>
  <si>
    <t>Input is escaped/sanitized; no script execution.</t>
  </si>
  <si>
    <t>Requirement ID</t>
  </si>
  <si>
    <t>Requirement / User Need</t>
  </si>
  <si>
    <t>Primary Scenario</t>
  </si>
  <si>
    <t>Mapped Test Cases</t>
  </si>
  <si>
    <t>Coverage Status</t>
  </si>
  <si>
    <t>REQ-001</t>
  </si>
  <si>
    <t>User can discover restaurants from the homepage</t>
  </si>
  <si>
    <t>TC-001 to TC-005</t>
  </si>
  <si>
    <t>REQ-002</t>
  </si>
  <si>
    <t>User can search by restaurant or cuisine</t>
  </si>
  <si>
    <t>TS-002/003</t>
  </si>
  <si>
    <t>TC-006 to TC-013</t>
  </si>
  <si>
    <t>REQ-003</t>
  </si>
  <si>
    <t>User can filter/sort restaurant results</t>
  </si>
  <si>
    <t>TS-004 to TS-007</t>
  </si>
  <si>
    <t>TC-014 to TC-020</t>
  </si>
  <si>
    <t>REQ-004</t>
  </si>
  <si>
    <t>User can view restaurant details and menu</t>
  </si>
  <si>
    <t>TS-008/009</t>
  </si>
  <si>
    <t>TC-021 to TC-029</t>
  </si>
  <si>
    <t>REQ-005</t>
  </si>
  <si>
    <t>User can build and manage a cart</t>
  </si>
  <si>
    <t>TS-010 to TS-012</t>
  </si>
  <si>
    <t>TC-030 to TC-039</t>
  </si>
  <si>
    <t>REQ-006</t>
  </si>
  <si>
    <t>User can authenticate securely</t>
  </si>
  <si>
    <t>TS-013/023/024</t>
  </si>
  <si>
    <t>TC-040 to TC-048</t>
  </si>
  <si>
    <t>REQ-007</t>
  </si>
  <si>
    <t>User can register with validated data</t>
  </si>
  <si>
    <t>TC-049 to TC-057</t>
  </si>
  <si>
    <t>REQ-008</t>
  </si>
  <si>
    <t>User can recover forgotten password</t>
  </si>
  <si>
    <t>TC-058 to TC-062</t>
  </si>
  <si>
    <t>REQ-009</t>
  </si>
  <si>
    <t>User can provide delivery/order details</t>
  </si>
  <si>
    <t>TS-016/017</t>
  </si>
  <si>
    <t>TC-063 to TC-071</t>
  </si>
  <si>
    <t>REQ-010</t>
  </si>
  <si>
    <t>Delivery fees are transparent and consistent</t>
  </si>
  <si>
    <t>TC-072 to TC-075</t>
  </si>
  <si>
    <t>REQ-011</t>
  </si>
  <si>
    <t>Help/legal/support content is accessible</t>
  </si>
  <si>
    <t>TC-076 to TC-081</t>
  </si>
  <si>
    <t>REQ-012</t>
  </si>
  <si>
    <t>Core flows are usable on mobile and desktop</t>
  </si>
  <si>
    <t>TC-082 to TC-085</t>
  </si>
  <si>
    <t>REQ-013</t>
  </si>
  <si>
    <t>Core pages meet basic accessibility expectations</t>
  </si>
  <si>
    <t>TC-086 to TC-089</t>
  </si>
  <si>
    <t>REQ-014</t>
  </si>
  <si>
    <t>Basic black-box security expectations are met</t>
  </si>
  <si>
    <t>TC-090 to TC-092</t>
  </si>
  <si>
    <t>Data ID</t>
  </si>
  <si>
    <t>Valid / Invalid</t>
  </si>
  <si>
    <t>Example</t>
  </si>
  <si>
    <t>Purpose / Boundary</t>
  </si>
  <si>
    <t>Sensitive?</t>
  </si>
  <si>
    <t>TD-001</t>
  </si>
  <si>
    <t>Restaurant search</t>
  </si>
  <si>
    <t>Valid</t>
  </si>
  <si>
    <t>Cuisine search</t>
  </si>
  <si>
    <t>No</t>
  </si>
  <si>
    <t>TD-002</t>
  </si>
  <si>
    <t>Restaurant-name search</t>
  </si>
  <si>
    <t>TD-003</t>
  </si>
  <si>
    <t>Invalid/edge</t>
  </si>
  <si>
    <t>Whitespace handling</t>
  </si>
  <si>
    <t>TD-004</t>
  </si>
  <si>
    <t>Special-character handling</t>
  </si>
  <si>
    <t>TD-005</t>
  </si>
  <si>
    <t>Email</t>
  </si>
  <si>
    <t>qa.foodmandu.test@example.com</t>
  </si>
  <si>
    <t>Format validation only; use disposable inbox if email delivery is tested</t>
  </si>
  <si>
    <t>TD-006</t>
  </si>
  <si>
    <t>Invalid</t>
  </si>
  <si>
    <t>Malformed email</t>
  </si>
  <si>
    <t>TD-007</t>
  </si>
  <si>
    <t>@mail.com</t>
  </si>
  <si>
    <t>TD-008</t>
  </si>
  <si>
    <t>Mobile</t>
  </si>
  <si>
    <t>Valid format</t>
  </si>
  <si>
    <t>Nepali mobile-format example; not a real tester number</t>
  </si>
  <si>
    <t>TD-009</t>
  </si>
  <si>
    <t>Too short</t>
  </si>
  <si>
    <t>TD-010</t>
  </si>
  <si>
    <t>Non-numeric</t>
  </si>
  <si>
    <t>TD-011</t>
  </si>
  <si>
    <t>Password</t>
  </si>
  <si>
    <t>Valid example</t>
  </si>
  <si>
    <t>FoodmanduQA#2026</t>
  </si>
  <si>
    <t>Positive format example; do not reuse personal credentials</t>
  </si>
  <si>
    <t>TD-012</t>
  </si>
  <si>
    <t>Invalid/weak</t>
  </si>
  <si>
    <t>Boundary/security check</t>
  </si>
  <si>
    <t>TD-013</t>
  </si>
  <si>
    <t>Address</t>
  </si>
  <si>
    <t>Valid test text</t>
  </si>
  <si>
    <t>Test Address, Kathmandu, Nepal</t>
  </si>
  <si>
    <t>Field validation only; avoid creating a real delivery</t>
  </si>
  <si>
    <t>TD-014</t>
  </si>
  <si>
    <t>Search security</t>
  </si>
  <si>
    <t>' OR 1=1 --</t>
  </si>
  <si>
    <t>Safe black-box input-handling check</t>
  </si>
  <si>
    <t>TD-015</t>
  </si>
  <si>
    <t>Safe XSS-oriented encoding check; do not attempt persistence</t>
  </si>
  <si>
    <t>Charter ID</t>
  </si>
  <si>
    <t>Mission</t>
  </si>
  <si>
    <t>Timebox</t>
  </si>
  <si>
    <t>Focus Areas</t>
  </si>
  <si>
    <t>Suggested Heuristics</t>
  </si>
  <si>
    <t>Output</t>
  </si>
  <si>
    <t>EX-001</t>
  </si>
  <si>
    <t>Explore search-to-restaurant discovery as a first-time user</t>
  </si>
  <si>
    <t>30 min</t>
  </si>
  <si>
    <t>Search, filters, no-results, navigation, clarity</t>
  </si>
  <si>
    <t>Consistency, error states, discoverability</t>
  </si>
  <si>
    <t>Notes + defects + screenshots</t>
  </si>
  <si>
    <t>EX-002</t>
  </si>
  <si>
    <t>Explore restaurant menu and cart behavior</t>
  </si>
  <si>
    <t>Menu categories, item search, prices, quantity, cart switching</t>
  </si>
  <si>
    <t>CRUD, boundaries, state transitions</t>
  </si>
  <si>
    <t>EX-003</t>
  </si>
  <si>
    <t>Explore authentication and recovery</t>
  </si>
  <si>
    <t>25 min</t>
  </si>
  <si>
    <t>Login validation, register validation, forgot password, session</t>
  </si>
  <si>
    <t>Input validation, privacy, security messaging</t>
  </si>
  <si>
    <t>EX-004</t>
  </si>
  <si>
    <t>Explore checkout up to but not including a real order</t>
  </si>
  <si>
    <t>Delivery fields, totals, fees, schedule, confirmation review</t>
  </si>
  <si>
    <t>Money, data integrity, required fields, accidental actions</t>
  </si>
  <si>
    <t>EX-005</t>
  </si>
  <si>
    <t>Explore mobile responsiveness and accessibility</t>
  </si>
  <si>
    <t>360/390px widths, keyboard, focus, zoom, labels</t>
  </si>
  <si>
    <t>Responsive breakpoints, WCAG-oriented smoke</t>
  </si>
  <si>
    <t>EX-006</t>
  </si>
  <si>
    <t>Explore content freshness and consistency</t>
  </si>
  <si>
    <t>20 min</t>
  </si>
  <si>
    <t>Terms, FAQs, delivery fees, footer, restaurant metadata</t>
  </si>
  <si>
    <t>Consistency, stale content, malformed values</t>
  </si>
  <si>
    <t>Notes + content defects</t>
  </si>
  <si>
    <t>Foodmandu Manual QA Dashboard</t>
  </si>
  <si>
    <t>Last Updated</t>
  </si>
  <si>
    <t>2026-08-21</t>
  </si>
  <si>
    <t>Primary Goal</t>
  </si>
  <si>
    <t>Validate critical customer journeys, usability, input validation, content consistency, and order-related flows without submitting unauthorized real orders.</t>
  </si>
  <si>
    <t>Test Approach</t>
  </si>
  <si>
    <t>Functional, UI, validation, negative, boundary, exploratory, compatibility, accessibility smoke, and basic security-oriented black-box checks.</t>
  </si>
  <si>
    <t>Execution Status</t>
  </si>
  <si>
    <t>Execution reviewed: 89 Pass, 2 Fail, 1 N/A, 0 Not Executed. Two Medium-severity defects are open. Pass rate across applicable executed tests: 97.8%.</t>
  </si>
  <si>
    <t>Execution Result</t>
  </si>
  <si>
    <t>Charter Only</t>
  </si>
  <si>
    <t>Observed behavior matched the expected result.</t>
  </si>
  <si>
    <t>Minimum order was displayed as 'Rs. .00', which is a malformed currency value.</t>
  </si>
  <si>
    <t>BUG-001</t>
  </si>
  <si>
    <t>Confirmed during manual execution. See BUG-001 in Defect Log.</t>
  </si>
  <si>
    <t>Not executed on the live production website because the test requires an authorized non-operational environment.</t>
  </si>
  <si>
    <t>Not executed against the live operational website. This reliability test requires an authorized non-operational environment.</t>
  </si>
  <si>
    <t>Terms content was marked inconsistent with the current product behavior during execution; the payment wording appears outdated.</t>
  </si>
  <si>
    <t>BUG-002</t>
  </si>
  <si>
    <t>Confirmed during manual execution. See BUG-002. The separate footer-year observation remains pending verification.</t>
  </si>
  <si>
    <t>Linked Test Case</t>
  </si>
  <si>
    <t>Title</t>
  </si>
  <si>
    <t>Severity</t>
  </si>
  <si>
    <t>Environment / Evidence</t>
  </si>
  <si>
    <t>Steps to Reproduce</t>
  </si>
  <si>
    <t>Source URL</t>
  </si>
  <si>
    <t>Minimum order value is malformed as 'Rs. .00'</t>
  </si>
  <si>
    <t>P2</t>
  </si>
  <si>
    <t>Open</t>
  </si>
  <si>
    <t>Manual browser execution reviewed 2026-08-21; original public-page observation 2026-08-19</t>
  </si>
  <si>
    <t>1. Open the affected restaurant detail page. 2. Inspect the Minimum order value.</t>
  </si>
  <si>
    <t>Display a valid currency amount such as Rs. 0.00, or a clear 'No minimum order' message.</t>
  </si>
  <si>
    <t>Minimum order is displayed as 'Rs. .00'.</t>
  </si>
  <si>
    <t>https://foodmandu.com/Restaurant/Details/1027</t>
  </si>
  <si>
    <t>Confirmed by failed test case TC-022.</t>
  </si>
  <si>
    <t>P3</t>
  </si>
  <si>
    <t>Not Reproducible</t>
  </si>
  <si>
    <t>Terms page payment statement appears outdated</t>
  </si>
  <si>
    <t>Manual browser execution reviewed 2026-08-21; original terms-page observation 2026-08-19</t>
  </si>
  <si>
    <t>1. Open Terms of Usage. 2. Review the ORDERING AND PAYMENT section. 3. Compare it with the current product behavior observed during testing.</t>
  </si>
  <si>
    <t>Legal and payment information should accurately describe the current customer ordering/payment experience.</t>
  </si>
  <si>
    <t>The payment wording on the Terms page was marked inconsistent with current product behavior during TC-079 execution.</t>
  </si>
  <si>
    <t>https://foodmandu.com/Home/TermsOfUse</t>
  </si>
  <si>
    <t>Confirmed through failed TC-079. Before external submission, quote the exact current wording and attach a browser screenshot.</t>
  </si>
  <si>
    <t>OBS-002</t>
  </si>
  <si>
    <t>Footer copyright year shows 2025 on current public output</t>
  </si>
  <si>
    <t>Public-page observation 2026-08-19</t>
  </si>
  <si>
    <t>1. Open the homepage or Terms page. 2. Scroll to the footer. 3. Check the copyright year.</t>
  </si>
  <si>
    <t>If the site intends a current-year copyright display, it should show 2026 or a maintained year range.</t>
  </si>
  <si>
    <t>Public output showed © 2025 Foodmandu Pvt. Ltd.; explicit browser confirmation was not recorded.</t>
  </si>
  <si>
    <t>Keep as an observation until manually confirmed in the browser. It may be intentional.</t>
  </si>
  <si>
    <t>Metric</t>
  </si>
  <si>
    <t>Value</t>
  </si>
  <si>
    <t>Defect Summary</t>
  </si>
  <si>
    <t>Total Test Cases</t>
  </si>
  <si>
    <t>Open Defects</t>
  </si>
  <si>
    <t>Executed (Applicable)</t>
  </si>
  <si>
    <t>Medium Open</t>
  </si>
  <si>
    <t>Passed</t>
  </si>
  <si>
    <t>Low Open</t>
  </si>
  <si>
    <t>Failed</t>
  </si>
  <si>
    <t>Needs Verification</t>
  </si>
  <si>
    <t>Blocked</t>
  </si>
  <si>
    <t>Highest Open Severity</t>
  </si>
  <si>
    <t>Pass Rate</t>
  </si>
  <si>
    <t>Count</t>
  </si>
  <si>
    <t>Not Executed</t>
  </si>
  <si>
    <t>Retest</t>
  </si>
  <si>
    <t>Execution Outcome</t>
  </si>
  <si>
    <t>Critical/High Failures</t>
  </si>
  <si>
    <t>Medium Failures</t>
  </si>
  <si>
    <t>Overall Result</t>
  </si>
  <si>
    <t>Completed with 2 Medium defects</t>
  </si>
  <si>
    <t>Workbook Review Notes</t>
  </si>
  <si>
    <t>Execution reviewed on 2026-08-21. TC-071 is N/A because duplicate final-order submission testing should not be performed on a live operational site without an authorized non-production environment. Failed cases are linked to BUG-001 and BUG-002. OBS-001 was not reproducible; OBS-002 still needs browser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</si>
</sst>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7F1D1D"/>
      <name val="Carlito"/>
    </font>
    <font>
      <sz val="11"/>
      <color rgb="FF374151"/>
      <name val="Carlito"/>
    </font>
    <font>
      <u/>
      <sz val="11"/>
      <color theme="1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991B1B"/>
      </patternFill>
    </fill>
    <fill>
      <patternFill patternType="solid">
        <fgColor rgb="FFFEF2F2"/>
      </patternFill>
    </fill>
    <fill>
      <patternFill patternType="solid">
        <fgColor rgb="FFFEE2E2"/>
      </patternFill>
    </fill>
    <fill>
      <patternFill patternType="solid">
        <fgColor rgb="FF991B1B"/>
      </patternFill>
    </fill>
    <fill>
      <patternFill patternType="solid">
        <fgColor rgb="FFFEF2F2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3" fillId="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164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6" borderId="0" xfId="0" applyNumberFormat="1" applyFont="1" applyFill="1" applyBorder="1" applyAlignment="1">
      <alignment horizontal="center" vertical="center" wrapText="1"/>
    </xf>
    <xf numFmtId="0" fontId="2" fillId="6" borderId="0" xfId="0" applyNumberFormat="1" applyFont="1" applyFill="1" applyBorder="1" applyAlignment="1">
      <alignment horizontal="center" wrapText="1"/>
    </xf>
    <xf numFmtId="0" fontId="3" fillId="7" borderId="0" xfId="0" applyNumberFormat="1" applyFont="1" applyFill="1" applyBorder="1" applyAlignment="1">
      <alignment wrapText="1"/>
    </xf>
    <xf numFmtId="0" fontId="3" fillId="7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9" borderId="0" xfId="0" applyNumberFormat="1" applyFont="1" applyFill="1" applyBorder="1" applyAlignment="1">
      <alignment wrapText="1"/>
    </xf>
    <xf numFmtId="0" fontId="4" fillId="1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left" vertical="center"/>
    </xf>
    <xf numFmtId="0" fontId="3" fillId="5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wrapText="1"/>
    </xf>
    <xf numFmtId="0" fontId="3" fillId="9" borderId="0" xfId="0" applyNumberFormat="1" applyFont="1" applyFill="1" applyBorder="1" applyAlignment="1">
      <alignment vertical="center"/>
    </xf>
    <xf numFmtId="0" fontId="3" fillId="8" borderId="0" xfId="0" applyNumberFormat="1" applyFont="1" applyFill="1" applyBorder="1" applyAlignment="1">
      <alignment vertical="center" wrapText="1"/>
    </xf>
    <xf numFmtId="0" fontId="0" fillId="9" borderId="0" xfId="0" applyNumberFormat="1" applyFont="1" applyFill="1" applyBorder="1" applyAlignment="1">
      <alignment vertical="center" wrapText="1"/>
    </xf>
    <xf numFmtId="0" fontId="5" fillId="0" borderId="0" xfId="1" applyNumberFormat="1" applyFill="1" applyBorder="1" applyAlignment="1">
      <alignment wrapText="1"/>
    </xf>
  </cellXfs>
  <cellStyles count="2">
    <cellStyle name="Hyperlink" xfId="1" builtinId="8"/>
    <cellStyle name="Normal" xfId="0" builtinId="0"/>
  </cellStyles>
  <dxfs count="13">
    <dxf>
      <font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Test Execution Status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Dashboard!$A$13:$A$18</c:f>
              <c:strCache>
                <c:ptCount val="6"/>
                <c:pt idx="0">
                  <c:v>Not Executed</c:v>
                </c:pt>
                <c:pt idx="1">
                  <c:v>Pass</c:v>
                </c:pt>
                <c:pt idx="2">
                  <c:v>Fail</c:v>
                </c:pt>
                <c:pt idx="3">
                  <c:v>Blocked</c:v>
                </c:pt>
                <c:pt idx="4">
                  <c:v>Retest</c:v>
                </c:pt>
                <c:pt idx="5">
                  <c:v>N/A</c:v>
                </c:pt>
              </c:strCache>
            </c:strRef>
          </c:cat>
          <c:val>
            <c:numRef>
              <c:f>Dashboard!$B$13:$B$18</c:f>
              <c:numCache>
                <c:formatCode>General</c:formatCode>
                <c:ptCount val="6"/>
                <c:pt idx="0">
                  <c:v>0</c:v>
                </c:pt>
                <c:pt idx="1">
                  <c:v>89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491520"/>
        <c:axId val="235487208"/>
      </c:barChart>
      <c:catAx>
        <c:axId val="235491520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35487208"/>
        <c:crosses val="autoZero"/>
        <c:auto val="1"/>
        <c:lblAlgn val="ctr"/>
        <c:lblOffset val="100"/>
        <c:noMultiLvlLbl val="0"/>
      </c:catAx>
      <c:valAx>
        <c:axId val="23548720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35491520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oodmanduTestCases" displayName="FoodmanduTestCases" ref="A1:N93" totalsRowShown="0">
  <tableColumns count="14">
    <tableColumn id="1" name="TC ID"/>
    <tableColumn id="2" name="Module"/>
    <tableColumn id="3" name="Scenario ID"/>
    <tableColumn id="4" name="Test Case"/>
    <tableColumn id="5" name="Preconditions"/>
    <tableColumn id="6" name="Steps"/>
    <tableColumn id="7" name="Test Data"/>
    <tableColumn id="8" name="Expected Result"/>
    <tableColumn id="9" name="Priority"/>
    <tableColumn id="10" name="Type"/>
    <tableColumn id="11" name="Status"/>
    <tableColumn id="12" name="Actual Result"/>
    <tableColumn id="13" name="Defect ID"/>
    <tableColumn id="1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oodmandu.com/Restaurant/Details/1027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7" workbookViewId="0">
      <selection sqref="A1:H1"/>
    </sheetView>
  </sheetViews>
  <sheetFormatPr defaultRowHeight="14.25"/>
  <cols>
    <col min="1" max="1" width="25" customWidth="1"/>
    <col min="2" max="2" width="75" customWidth="1"/>
  </cols>
  <sheetData>
    <row r="1" spans="1:8" ht="30" customHeight="1">
      <c r="A1" s="15" t="s">
        <v>0</v>
      </c>
      <c r="B1" s="15"/>
      <c r="C1" s="15"/>
      <c r="D1" s="15"/>
      <c r="E1" s="15"/>
      <c r="F1" s="15"/>
      <c r="G1" s="15"/>
      <c r="H1" s="15"/>
    </row>
    <row r="3" spans="1:8" ht="15">
      <c r="A3" s="1" t="s">
        <v>1</v>
      </c>
      <c r="B3" s="1" t="s">
        <v>2</v>
      </c>
    </row>
    <row r="4" spans="1:8" ht="15">
      <c r="A4" s="2" t="s">
        <v>3</v>
      </c>
      <c r="B4" s="3" t="s">
        <v>4</v>
      </c>
    </row>
    <row r="5" spans="1:8" ht="15">
      <c r="A5" s="2" t="s">
        <v>5</v>
      </c>
      <c r="B5" s="3" t="s">
        <v>6</v>
      </c>
    </row>
    <row r="6" spans="1:8" ht="15">
      <c r="A6" s="2" t="s">
        <v>7</v>
      </c>
      <c r="B6" s="3" t="s">
        <v>8</v>
      </c>
    </row>
    <row r="7" spans="1:8" ht="15">
      <c r="A7" s="9" t="s">
        <v>805</v>
      </c>
      <c r="B7" s="3" t="s">
        <v>806</v>
      </c>
    </row>
    <row r="8" spans="1:8" ht="29.25">
      <c r="A8" s="9" t="s">
        <v>807</v>
      </c>
      <c r="B8" s="3" t="s">
        <v>808</v>
      </c>
    </row>
    <row r="9" spans="1:8" ht="29.25">
      <c r="A9" s="9" t="s">
        <v>809</v>
      </c>
      <c r="B9" s="3" t="s">
        <v>810</v>
      </c>
    </row>
    <row r="10" spans="1:8" ht="29.25">
      <c r="A10" s="9" t="s">
        <v>811</v>
      </c>
      <c r="B10" s="3" t="s">
        <v>812</v>
      </c>
    </row>
    <row r="14" spans="1:8" ht="15">
      <c r="A14" s="16" t="s">
        <v>9</v>
      </c>
      <c r="B14" s="16"/>
      <c r="C14" s="16"/>
      <c r="D14" s="16"/>
      <c r="E14" s="16"/>
      <c r="F14" s="16"/>
      <c r="G14" s="16"/>
      <c r="H14" s="16"/>
    </row>
    <row r="15" spans="1:8" ht="57.75">
      <c r="A15" s="2" t="s">
        <v>10</v>
      </c>
      <c r="B15" s="3" t="s">
        <v>11</v>
      </c>
    </row>
    <row r="16" spans="1:8" ht="43.5">
      <c r="A16" s="2" t="s">
        <v>12</v>
      </c>
      <c r="B16" s="3" t="s">
        <v>13</v>
      </c>
    </row>
    <row r="17" spans="1:8" ht="29.25">
      <c r="A17" s="2" t="s">
        <v>14</v>
      </c>
      <c r="B17" s="3" t="s">
        <v>15</v>
      </c>
    </row>
    <row r="19" spans="1:8" ht="15">
      <c r="A19" s="16" t="s">
        <v>16</v>
      </c>
      <c r="B19" s="16"/>
      <c r="C19" s="16"/>
      <c r="D19" s="16"/>
      <c r="E19" s="16"/>
      <c r="F19" s="16"/>
      <c r="G19" s="16"/>
      <c r="H19" s="16"/>
    </row>
    <row r="20" spans="1:8" ht="15">
      <c r="A20" s="1" t="s">
        <v>17</v>
      </c>
      <c r="B20" s="1" t="s">
        <v>18</v>
      </c>
    </row>
    <row r="21" spans="1:8" ht="28.5">
      <c r="A21" s="3" t="s">
        <v>6</v>
      </c>
      <c r="B21" s="3" t="s">
        <v>19</v>
      </c>
    </row>
    <row r="22" spans="1:8" ht="28.5">
      <c r="A22" s="3" t="s">
        <v>20</v>
      </c>
      <c r="B22" s="3" t="s">
        <v>21</v>
      </c>
    </row>
    <row r="23" spans="1:8" ht="28.5">
      <c r="A23" s="3" t="s">
        <v>22</v>
      </c>
      <c r="B23" s="3" t="s">
        <v>23</v>
      </c>
    </row>
    <row r="24" spans="1:8" ht="28.5">
      <c r="A24" s="3" t="s">
        <v>24</v>
      </c>
      <c r="B24" s="3" t="s">
        <v>25</v>
      </c>
    </row>
    <row r="25" spans="1:8" ht="28.5">
      <c r="A25" s="3" t="s">
        <v>26</v>
      </c>
      <c r="B25" s="3" t="s">
        <v>27</v>
      </c>
    </row>
    <row r="26" spans="1:8" ht="28.5">
      <c r="A26" s="3" t="s">
        <v>28</v>
      </c>
      <c r="B26" s="3" t="s">
        <v>29</v>
      </c>
    </row>
  </sheetData>
  <mergeCells count="3">
    <mergeCell ref="A1:H1"/>
    <mergeCell ref="A14:H14"/>
    <mergeCell ref="A19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sqref="A1:H1"/>
    </sheetView>
  </sheetViews>
  <sheetFormatPr defaultRowHeight="14.25"/>
  <cols>
    <col min="1" max="8" width="15" customWidth="1"/>
  </cols>
  <sheetData>
    <row r="1" spans="1:8" ht="20.25">
      <c r="A1" s="17" t="s">
        <v>30</v>
      </c>
      <c r="B1" s="17"/>
      <c r="C1" s="17"/>
      <c r="D1" s="17"/>
      <c r="E1" s="17"/>
      <c r="F1" s="17"/>
      <c r="G1" s="17"/>
      <c r="H1" s="17"/>
    </row>
    <row r="3" spans="1:8" ht="15">
      <c r="A3" s="16" t="s">
        <v>31</v>
      </c>
      <c r="B3" s="16"/>
      <c r="C3" s="16"/>
      <c r="D3" s="16"/>
      <c r="E3" s="16"/>
      <c r="F3" s="16"/>
      <c r="G3" s="16"/>
      <c r="H3" s="16"/>
    </row>
    <row r="4" spans="1:8" ht="36" customHeight="1">
      <c r="A4" s="18" t="s">
        <v>32</v>
      </c>
      <c r="B4" s="18"/>
      <c r="C4" s="18"/>
      <c r="D4" s="18"/>
      <c r="E4" s="18"/>
      <c r="F4" s="18"/>
      <c r="G4" s="18"/>
      <c r="H4" s="18"/>
    </row>
    <row r="6" spans="1:8" ht="15">
      <c r="A6" s="16" t="s">
        <v>33</v>
      </c>
      <c r="B6" s="16"/>
      <c r="C6" s="16"/>
      <c r="D6" s="16"/>
      <c r="E6" s="16"/>
      <c r="F6" s="16"/>
      <c r="G6" s="16"/>
      <c r="H6" s="16"/>
    </row>
    <row r="7" spans="1:8" ht="36" customHeight="1">
      <c r="A7" s="18" t="s">
        <v>34</v>
      </c>
      <c r="B7" s="18"/>
      <c r="C7" s="18"/>
      <c r="D7" s="18"/>
      <c r="E7" s="18"/>
      <c r="F7" s="18"/>
      <c r="G7" s="18"/>
      <c r="H7" s="18"/>
    </row>
    <row r="9" spans="1:8" ht="15">
      <c r="A9" s="16" t="s">
        <v>35</v>
      </c>
      <c r="B9" s="16"/>
      <c r="C9" s="16"/>
      <c r="D9" s="16"/>
      <c r="E9" s="16"/>
      <c r="F9" s="16"/>
      <c r="G9" s="16"/>
      <c r="H9" s="16"/>
    </row>
    <row r="10" spans="1:8" ht="36" customHeight="1">
      <c r="A10" s="18" t="s">
        <v>36</v>
      </c>
      <c r="B10" s="18"/>
      <c r="C10" s="18"/>
      <c r="D10" s="18"/>
      <c r="E10" s="18"/>
      <c r="F10" s="18"/>
      <c r="G10" s="18"/>
      <c r="H10" s="18"/>
    </row>
    <row r="12" spans="1:8" ht="15">
      <c r="A12" s="16" t="s">
        <v>37</v>
      </c>
      <c r="B12" s="16"/>
      <c r="C12" s="16"/>
      <c r="D12" s="16"/>
      <c r="E12" s="16"/>
      <c r="F12" s="16"/>
      <c r="G12" s="16"/>
      <c r="H12" s="16"/>
    </row>
    <row r="13" spans="1:8" ht="36" customHeight="1">
      <c r="A13" s="18" t="s">
        <v>38</v>
      </c>
      <c r="B13" s="18"/>
      <c r="C13" s="18"/>
      <c r="D13" s="18"/>
      <c r="E13" s="18"/>
      <c r="F13" s="18"/>
      <c r="G13" s="18"/>
      <c r="H13" s="18"/>
    </row>
    <row r="15" spans="1:8" ht="15">
      <c r="A15" s="16" t="s">
        <v>39</v>
      </c>
      <c r="B15" s="16"/>
      <c r="C15" s="16"/>
      <c r="D15" s="16"/>
      <c r="E15" s="16"/>
      <c r="F15" s="16"/>
      <c r="G15" s="16"/>
      <c r="H15" s="16"/>
    </row>
    <row r="16" spans="1:8" ht="36" customHeight="1">
      <c r="A16" s="18" t="s">
        <v>40</v>
      </c>
      <c r="B16" s="18"/>
      <c r="C16" s="18"/>
      <c r="D16" s="18"/>
      <c r="E16" s="18"/>
      <c r="F16" s="18"/>
      <c r="G16" s="18"/>
      <c r="H16" s="18"/>
    </row>
    <row r="18" spans="1:8" ht="15">
      <c r="A18" s="16" t="s">
        <v>41</v>
      </c>
      <c r="B18" s="16"/>
      <c r="C18" s="16"/>
      <c r="D18" s="16"/>
      <c r="E18" s="16"/>
      <c r="F18" s="16"/>
      <c r="G18" s="16"/>
      <c r="H18" s="16"/>
    </row>
    <row r="19" spans="1:8" ht="36" customHeight="1">
      <c r="A19" s="18" t="s">
        <v>42</v>
      </c>
      <c r="B19" s="18"/>
      <c r="C19" s="18"/>
      <c r="D19" s="18"/>
      <c r="E19" s="18"/>
      <c r="F19" s="18"/>
      <c r="G19" s="18"/>
      <c r="H19" s="18"/>
    </row>
    <row r="21" spans="1:8" ht="15">
      <c r="A21" s="16" t="s">
        <v>43</v>
      </c>
      <c r="B21" s="16"/>
      <c r="C21" s="16"/>
      <c r="D21" s="16"/>
      <c r="E21" s="16"/>
      <c r="F21" s="16"/>
      <c r="G21" s="16"/>
      <c r="H21" s="16"/>
    </row>
    <row r="22" spans="1:8" ht="36" customHeight="1">
      <c r="A22" s="18" t="s">
        <v>44</v>
      </c>
      <c r="B22" s="18"/>
      <c r="C22" s="18"/>
      <c r="D22" s="18"/>
      <c r="E22" s="18"/>
      <c r="F22" s="18"/>
      <c r="G22" s="18"/>
      <c r="H22" s="18"/>
    </row>
    <row r="24" spans="1:8" ht="15">
      <c r="A24" s="16" t="s">
        <v>45</v>
      </c>
      <c r="B24" s="16"/>
      <c r="C24" s="16"/>
      <c r="D24" s="16"/>
      <c r="E24" s="16"/>
      <c r="F24" s="16"/>
      <c r="G24" s="16"/>
      <c r="H24" s="16"/>
    </row>
    <row r="25" spans="1:8" ht="36" customHeight="1">
      <c r="A25" s="18" t="s">
        <v>46</v>
      </c>
      <c r="B25" s="18"/>
      <c r="C25" s="18"/>
      <c r="D25" s="18"/>
      <c r="E25" s="18"/>
      <c r="F25" s="18"/>
      <c r="G25" s="18"/>
      <c r="H25" s="18"/>
    </row>
    <row r="27" spans="1:8" ht="15">
      <c r="A27" s="16" t="s">
        <v>47</v>
      </c>
      <c r="B27" s="16"/>
      <c r="C27" s="16"/>
      <c r="D27" s="16"/>
      <c r="E27" s="16"/>
      <c r="F27" s="16"/>
      <c r="G27" s="16"/>
      <c r="H27" s="16"/>
    </row>
    <row r="28" spans="1:8" ht="36" customHeight="1">
      <c r="A28" s="18" t="s">
        <v>48</v>
      </c>
      <c r="B28" s="18"/>
      <c r="C28" s="18"/>
      <c r="D28" s="18"/>
      <c r="E28" s="18"/>
      <c r="F28" s="18"/>
      <c r="G28" s="18"/>
      <c r="H28" s="18"/>
    </row>
    <row r="30" spans="1:8" ht="15">
      <c r="A30" s="16" t="s">
        <v>49</v>
      </c>
      <c r="B30" s="16"/>
      <c r="C30" s="16"/>
      <c r="D30" s="16"/>
      <c r="E30" s="16"/>
      <c r="F30" s="16"/>
      <c r="G30" s="16"/>
      <c r="H30" s="16"/>
    </row>
    <row r="31" spans="1:8" ht="36" customHeight="1">
      <c r="A31" s="18" t="s">
        <v>50</v>
      </c>
      <c r="B31" s="18"/>
      <c r="C31" s="18"/>
      <c r="D31" s="18"/>
      <c r="E31" s="18"/>
      <c r="F31" s="18"/>
      <c r="G31" s="18"/>
      <c r="H31" s="18"/>
    </row>
  </sheetData>
  <mergeCells count="21">
    <mergeCell ref="A31:H31"/>
    <mergeCell ref="A24:H24"/>
    <mergeCell ref="A25:H25"/>
    <mergeCell ref="A27:H27"/>
    <mergeCell ref="A28:H28"/>
    <mergeCell ref="A30:H30"/>
    <mergeCell ref="A16:H16"/>
    <mergeCell ref="A18:H18"/>
    <mergeCell ref="A19:H19"/>
    <mergeCell ref="A21:H21"/>
    <mergeCell ref="A22:H22"/>
    <mergeCell ref="A9:H9"/>
    <mergeCell ref="A10:H10"/>
    <mergeCell ref="A12:H12"/>
    <mergeCell ref="A13:H13"/>
    <mergeCell ref="A15:H15"/>
    <mergeCell ref="A1:H1"/>
    <mergeCell ref="A3:H3"/>
    <mergeCell ref="A4:H4"/>
    <mergeCell ref="A6:H6"/>
    <mergeCell ref="A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4.25"/>
  <cols>
    <col min="1" max="1" width="13" customWidth="1"/>
    <col min="2" max="2" width="20" customWidth="1"/>
    <col min="3" max="3" width="55" customWidth="1"/>
    <col min="4" max="4" width="12" customWidth="1"/>
    <col min="5" max="5" width="20" customWidth="1"/>
    <col min="6" max="6" width="24" customWidth="1"/>
    <col min="7" max="7" width="18" customWidth="1"/>
  </cols>
  <sheetData>
    <row r="1" spans="1:7" ht="1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7" t="s">
        <v>813</v>
      </c>
    </row>
    <row r="2" spans="1:7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tr">
        <f>IF(COUNTIF('Test Cases'!$C$2:$C$93,A2)=0,"No Cases",IF(COUNTIFS('Test Cases'!$C$2:$C$93,A2,'Test Cases'!$K$2:$K$93,"Fail")&gt;0,"Fail",IF(COUNTIFS('Test Cases'!$C$2:$C$93,A2,'Test Cases'!$K$2:$K$93,"Blocked")&gt;0,"Blocked",IF(COUNTIFS('Test Cases'!$C$2:$C$93,A2,'Test Cases'!$K$2:$K$93,"Not Executed")&gt;0,"Partial",IF(COUNTIFS('Test Cases'!$C$2:$C$93,A2,'Test Cases'!$K$2:$K$93,"N/A")&gt;0,"Pass with N/A","Pass")))))</f>
        <v>Pass</v>
      </c>
    </row>
    <row r="3" spans="1:7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tr">
        <f>IF(COUNTIF('Test Cases'!$C$2:$C$93,A3)=0,"No Cases",IF(COUNTIFS('Test Cases'!$C$2:$C$93,A3,'Test Cases'!$K$2:$K$93,"Fail")&gt;0,"Fail",IF(COUNTIFS('Test Cases'!$C$2:$C$93,A3,'Test Cases'!$K$2:$K$93,"Blocked")&gt;0,"Blocked",IF(COUNTIFS('Test Cases'!$C$2:$C$93,A3,'Test Cases'!$K$2:$K$93,"Not Executed")&gt;0,"Partial",IF(COUNTIFS('Test Cases'!$C$2:$C$93,A3,'Test Cases'!$K$2:$K$93,"N/A")&gt;0,"Pass with N/A","Pass")))))</f>
        <v>Pass</v>
      </c>
    </row>
    <row r="4" spans="1:7" ht="28.5">
      <c r="A4" s="3" t="s">
        <v>69</v>
      </c>
      <c r="B4" s="3" t="s">
        <v>64</v>
      </c>
      <c r="C4" s="3" t="s">
        <v>70</v>
      </c>
      <c r="D4" s="3" t="s">
        <v>60</v>
      </c>
      <c r="E4" s="3" t="s">
        <v>71</v>
      </c>
      <c r="F4" s="3" t="s">
        <v>72</v>
      </c>
      <c r="G4" s="3" t="str">
        <f>IF(COUNTIF('Test Cases'!$C$2:$C$93,A4)=0,"No Cases",IF(COUNTIFS('Test Cases'!$C$2:$C$93,A4,'Test Cases'!$K$2:$K$93,"Fail")&gt;0,"Fail",IF(COUNTIFS('Test Cases'!$C$2:$C$93,A4,'Test Cases'!$K$2:$K$93,"Blocked")&gt;0,"Blocked",IF(COUNTIFS('Test Cases'!$C$2:$C$93,A4,'Test Cases'!$K$2:$K$93,"Not Executed")&gt;0,"Partial",IF(COUNTIFS('Test Cases'!$C$2:$C$93,A4,'Test Cases'!$K$2:$K$93,"N/A")&gt;0,"Pass with N/A","Pass")))))</f>
        <v>Pass</v>
      </c>
    </row>
    <row r="5" spans="1:7">
      <c r="A5" s="3" t="s">
        <v>73</v>
      </c>
      <c r="B5" s="3" t="s">
        <v>74</v>
      </c>
      <c r="C5" s="3" t="s">
        <v>75</v>
      </c>
      <c r="D5" s="3" t="s">
        <v>60</v>
      </c>
      <c r="E5" s="3" t="s">
        <v>61</v>
      </c>
      <c r="F5" s="3" t="s">
        <v>68</v>
      </c>
      <c r="G5" s="3" t="str">
        <f>IF(COUNTIF('Test Cases'!$C$2:$C$93,A5)=0,"No Cases",IF(COUNTIFS('Test Cases'!$C$2:$C$93,A5,'Test Cases'!$K$2:$K$93,"Fail")&gt;0,"Fail",IF(COUNTIFS('Test Cases'!$C$2:$C$93,A5,'Test Cases'!$K$2:$K$93,"Blocked")&gt;0,"Blocked",IF(COUNTIFS('Test Cases'!$C$2:$C$93,A5,'Test Cases'!$K$2:$K$93,"Not Executed")&gt;0,"Partial",IF(COUNTIFS('Test Cases'!$C$2:$C$93,A5,'Test Cases'!$K$2:$K$93,"N/A")&gt;0,"Pass with N/A","Pass")))))</f>
        <v>Pass</v>
      </c>
    </row>
    <row r="6" spans="1:7">
      <c r="A6" s="3" t="s">
        <v>76</v>
      </c>
      <c r="B6" s="3" t="s">
        <v>74</v>
      </c>
      <c r="C6" s="3" t="s">
        <v>77</v>
      </c>
      <c r="D6" s="3" t="s">
        <v>60</v>
      </c>
      <c r="E6" s="3" t="s">
        <v>67</v>
      </c>
      <c r="F6" s="3" t="s">
        <v>78</v>
      </c>
      <c r="G6" s="3" t="str">
        <f>IF(COUNTIF('Test Cases'!$C$2:$C$93,A6)=0,"No Cases",IF(COUNTIFS('Test Cases'!$C$2:$C$93,A6,'Test Cases'!$K$2:$K$93,"Fail")&gt;0,"Fail",IF(COUNTIFS('Test Cases'!$C$2:$C$93,A6,'Test Cases'!$K$2:$K$93,"Blocked")&gt;0,"Blocked",IF(COUNTIFS('Test Cases'!$C$2:$C$93,A6,'Test Cases'!$K$2:$K$93,"Not Executed")&gt;0,"Partial",IF(COUNTIFS('Test Cases'!$C$2:$C$93,A6,'Test Cases'!$K$2:$K$93,"N/A")&gt;0,"Pass with N/A","Pass")))))</f>
        <v>Pass</v>
      </c>
    </row>
    <row r="7" spans="1:7">
      <c r="A7" s="3" t="s">
        <v>79</v>
      </c>
      <c r="B7" s="3" t="s">
        <v>74</v>
      </c>
      <c r="C7" s="3" t="s">
        <v>80</v>
      </c>
      <c r="D7" s="3" t="s">
        <v>81</v>
      </c>
      <c r="E7" s="3" t="s">
        <v>67</v>
      </c>
      <c r="F7" s="3" t="s">
        <v>82</v>
      </c>
      <c r="G7" s="3" t="str">
        <f>IF(COUNTIF('Test Cases'!$C$2:$C$93,A7)=0,"No Cases",IF(COUNTIFS('Test Cases'!$C$2:$C$93,A7,'Test Cases'!$K$2:$K$93,"Fail")&gt;0,"Fail",IF(COUNTIFS('Test Cases'!$C$2:$C$93,A7,'Test Cases'!$K$2:$K$93,"Blocked")&gt;0,"Blocked",IF(COUNTIFS('Test Cases'!$C$2:$C$93,A7,'Test Cases'!$K$2:$K$93,"Not Executed")&gt;0,"Partial",IF(COUNTIFS('Test Cases'!$C$2:$C$93,A7,'Test Cases'!$K$2:$K$93,"N/A")&gt;0,"Pass with N/A","Pass")))))</f>
        <v>Pass</v>
      </c>
    </row>
    <row r="8" spans="1:7">
      <c r="A8" s="3" t="s">
        <v>83</v>
      </c>
      <c r="B8" s="3" t="s">
        <v>74</v>
      </c>
      <c r="C8" s="3" t="s">
        <v>84</v>
      </c>
      <c r="D8" s="3" t="s">
        <v>81</v>
      </c>
      <c r="E8" s="3" t="s">
        <v>85</v>
      </c>
      <c r="F8" s="3" t="s">
        <v>86</v>
      </c>
      <c r="G8" s="3" t="str">
        <f>IF(COUNTIF('Test Cases'!$C$2:$C$93,A8)=0,"No Cases",IF(COUNTIFS('Test Cases'!$C$2:$C$93,A8,'Test Cases'!$K$2:$K$93,"Fail")&gt;0,"Fail",IF(COUNTIFS('Test Cases'!$C$2:$C$93,A8,'Test Cases'!$K$2:$K$93,"Blocked")&gt;0,"Blocked",IF(COUNTIFS('Test Cases'!$C$2:$C$93,A8,'Test Cases'!$K$2:$K$93,"Not Executed")&gt;0,"Partial",IF(COUNTIFS('Test Cases'!$C$2:$C$93,A8,'Test Cases'!$K$2:$K$93,"N/A")&gt;0,"Pass with N/A","Pass")))))</f>
        <v>Pass</v>
      </c>
    </row>
    <row r="9" spans="1:7" ht="29.25">
      <c r="A9" s="3" t="s">
        <v>87</v>
      </c>
      <c r="B9" s="3" t="s">
        <v>88</v>
      </c>
      <c r="C9" s="3" t="s">
        <v>89</v>
      </c>
      <c r="D9" s="3" t="s">
        <v>66</v>
      </c>
      <c r="E9" s="3" t="s">
        <v>61</v>
      </c>
      <c r="F9" s="3" t="s">
        <v>90</v>
      </c>
      <c r="G9" s="3" t="str">
        <f>IF(COUNTIF('Test Cases'!$C$2:$C$93,A9)=0,"No Cases",IF(COUNTIFS('Test Cases'!$C$2:$C$93,A9,'Test Cases'!$K$2:$K$93,"Fail")&gt;0,"Fail",IF(COUNTIFS('Test Cases'!$C$2:$C$93,A9,'Test Cases'!$K$2:$K$93,"Blocked")&gt;0,"Blocked",IF(COUNTIFS('Test Cases'!$C$2:$C$93,A9,'Test Cases'!$K$2:$K$93,"Not Executed")&gt;0,"Partial",IF(COUNTIFS('Test Cases'!$C$2:$C$93,A9,'Test Cases'!$K$2:$K$93,"N/A")&gt;0,"Pass with N/A","Pass")))))</f>
        <v>Fail</v>
      </c>
    </row>
    <row r="10" spans="1:7">
      <c r="A10" s="3" t="s">
        <v>91</v>
      </c>
      <c r="B10" s="3" t="s">
        <v>92</v>
      </c>
      <c r="C10" s="3" t="s">
        <v>93</v>
      </c>
      <c r="D10" s="3" t="s">
        <v>60</v>
      </c>
      <c r="E10" s="3" t="s">
        <v>67</v>
      </c>
      <c r="F10" s="3" t="s">
        <v>94</v>
      </c>
      <c r="G10" s="3" t="str">
        <f>IF(COUNTIF('Test Cases'!$C$2:$C$93,A10)=0,"No Cases",IF(COUNTIFS('Test Cases'!$C$2:$C$93,A10,'Test Cases'!$K$2:$K$93,"Fail")&gt;0,"Fail",IF(COUNTIFS('Test Cases'!$C$2:$C$93,A10,'Test Cases'!$K$2:$K$93,"Blocked")&gt;0,"Blocked",IF(COUNTIFS('Test Cases'!$C$2:$C$93,A10,'Test Cases'!$K$2:$K$93,"Not Executed")&gt;0,"Partial",IF(COUNTIFS('Test Cases'!$C$2:$C$93,A10,'Test Cases'!$K$2:$K$93,"N/A")&gt;0,"Pass with N/A","Pass")))))</f>
        <v>Pass</v>
      </c>
    </row>
    <row r="11" spans="1:7">
      <c r="A11" s="3" t="s">
        <v>95</v>
      </c>
      <c r="B11" s="3" t="s">
        <v>96</v>
      </c>
      <c r="C11" s="3" t="s">
        <v>97</v>
      </c>
      <c r="D11" s="3" t="s">
        <v>66</v>
      </c>
      <c r="E11" s="3" t="s">
        <v>67</v>
      </c>
      <c r="F11" s="3" t="s">
        <v>98</v>
      </c>
      <c r="G11" s="3" t="str">
        <f>IF(COUNTIF('Test Cases'!$C$2:$C$93,A11)=0,"No Cases",IF(COUNTIFS('Test Cases'!$C$2:$C$93,A11,'Test Cases'!$K$2:$K$93,"Fail")&gt;0,"Fail",IF(COUNTIFS('Test Cases'!$C$2:$C$93,A11,'Test Cases'!$K$2:$K$93,"Blocked")&gt;0,"Blocked",IF(COUNTIFS('Test Cases'!$C$2:$C$93,A11,'Test Cases'!$K$2:$K$93,"Not Executed")&gt;0,"Partial",IF(COUNTIFS('Test Cases'!$C$2:$C$93,A11,'Test Cases'!$K$2:$K$93,"N/A")&gt;0,"Pass with N/A","Pass")))))</f>
        <v>Pass</v>
      </c>
    </row>
    <row r="12" spans="1:7">
      <c r="A12" s="3" t="s">
        <v>99</v>
      </c>
      <c r="B12" s="3" t="s">
        <v>96</v>
      </c>
      <c r="C12" s="3" t="s">
        <v>100</v>
      </c>
      <c r="D12" s="3" t="s">
        <v>66</v>
      </c>
      <c r="E12" s="3" t="s">
        <v>67</v>
      </c>
      <c r="F12" s="3" t="s">
        <v>101</v>
      </c>
      <c r="G12" s="3" t="str">
        <f>IF(COUNTIF('Test Cases'!$C$2:$C$93,A12)=0,"No Cases",IF(COUNTIFS('Test Cases'!$C$2:$C$93,A12,'Test Cases'!$K$2:$K$93,"Fail")&gt;0,"Fail",IF(COUNTIFS('Test Cases'!$C$2:$C$93,A12,'Test Cases'!$K$2:$K$93,"Blocked")&gt;0,"Blocked",IF(COUNTIFS('Test Cases'!$C$2:$C$93,A12,'Test Cases'!$K$2:$K$93,"Not Executed")&gt;0,"Partial",IF(COUNTIFS('Test Cases'!$C$2:$C$93,A12,'Test Cases'!$K$2:$K$93,"N/A")&gt;0,"Pass with N/A","Pass")))))</f>
        <v>Pass</v>
      </c>
    </row>
    <row r="13" spans="1:7">
      <c r="A13" s="3" t="s">
        <v>102</v>
      </c>
      <c r="B13" s="3" t="s">
        <v>96</v>
      </c>
      <c r="C13" s="3" t="s">
        <v>103</v>
      </c>
      <c r="D13" s="3" t="s">
        <v>66</v>
      </c>
      <c r="E13" s="3" t="s">
        <v>104</v>
      </c>
      <c r="F13" s="3" t="s">
        <v>105</v>
      </c>
      <c r="G13" s="3" t="str">
        <f>IF(COUNTIF('Test Cases'!$C$2:$C$93,A13)=0,"No Cases",IF(COUNTIFS('Test Cases'!$C$2:$C$93,A13,'Test Cases'!$K$2:$K$93,"Fail")&gt;0,"Fail",IF(COUNTIFS('Test Cases'!$C$2:$C$93,A13,'Test Cases'!$K$2:$K$93,"Blocked")&gt;0,"Blocked",IF(COUNTIFS('Test Cases'!$C$2:$C$93,A13,'Test Cases'!$K$2:$K$93,"Not Executed")&gt;0,"Partial",IF(COUNTIFS('Test Cases'!$C$2:$C$93,A13,'Test Cases'!$K$2:$K$93,"N/A")&gt;0,"Pass with N/A","Pass")))))</f>
        <v>Pass</v>
      </c>
    </row>
    <row r="14" spans="1:7">
      <c r="A14" s="3" t="s">
        <v>106</v>
      </c>
      <c r="B14" s="3" t="s">
        <v>107</v>
      </c>
      <c r="C14" s="3" t="s">
        <v>108</v>
      </c>
      <c r="D14" s="3" t="s">
        <v>66</v>
      </c>
      <c r="E14" s="3" t="s">
        <v>109</v>
      </c>
      <c r="F14" s="3" t="s">
        <v>110</v>
      </c>
      <c r="G14" s="3" t="str">
        <f>IF(COUNTIF('Test Cases'!$C$2:$C$93,A14)=0,"No Cases",IF(COUNTIFS('Test Cases'!$C$2:$C$93,A14,'Test Cases'!$K$2:$K$93,"Fail")&gt;0,"Fail",IF(COUNTIFS('Test Cases'!$C$2:$C$93,A14,'Test Cases'!$K$2:$K$93,"Blocked")&gt;0,"Blocked",IF(COUNTIFS('Test Cases'!$C$2:$C$93,A14,'Test Cases'!$K$2:$K$93,"Not Executed")&gt;0,"Partial",IF(COUNTIFS('Test Cases'!$C$2:$C$93,A14,'Test Cases'!$K$2:$K$93,"N/A")&gt;0,"Pass with N/A","Pass")))))</f>
        <v>Pass</v>
      </c>
    </row>
    <row r="15" spans="1:7">
      <c r="A15" s="3" t="s">
        <v>111</v>
      </c>
      <c r="B15" s="3" t="s">
        <v>112</v>
      </c>
      <c r="C15" s="3" t="s">
        <v>113</v>
      </c>
      <c r="D15" s="3" t="s">
        <v>60</v>
      </c>
      <c r="E15" s="3" t="s">
        <v>114</v>
      </c>
      <c r="F15" s="3" t="s">
        <v>115</v>
      </c>
      <c r="G15" s="3" t="str">
        <f>IF(COUNTIF('Test Cases'!$C$2:$C$93,A15)=0,"No Cases",IF(COUNTIFS('Test Cases'!$C$2:$C$93,A15,'Test Cases'!$K$2:$K$93,"Fail")&gt;0,"Fail",IF(COUNTIFS('Test Cases'!$C$2:$C$93,A15,'Test Cases'!$K$2:$K$93,"Blocked")&gt;0,"Blocked",IF(COUNTIFS('Test Cases'!$C$2:$C$93,A15,'Test Cases'!$K$2:$K$93,"Not Executed")&gt;0,"Partial",IF(COUNTIFS('Test Cases'!$C$2:$C$93,A15,'Test Cases'!$K$2:$K$93,"N/A")&gt;0,"Pass with N/A","Pass")))))</f>
        <v>Pass</v>
      </c>
    </row>
    <row r="16" spans="1:7">
      <c r="A16" s="3" t="s">
        <v>116</v>
      </c>
      <c r="B16" s="3" t="s">
        <v>117</v>
      </c>
      <c r="C16" s="3" t="s">
        <v>118</v>
      </c>
      <c r="D16" s="3" t="s">
        <v>60</v>
      </c>
      <c r="E16" s="3" t="s">
        <v>109</v>
      </c>
      <c r="F16" s="3" t="s">
        <v>119</v>
      </c>
      <c r="G16" s="3" t="str">
        <f>IF(COUNTIF('Test Cases'!$C$2:$C$93,A16)=0,"No Cases",IF(COUNTIFS('Test Cases'!$C$2:$C$93,A16,'Test Cases'!$K$2:$K$93,"Fail")&gt;0,"Fail",IF(COUNTIFS('Test Cases'!$C$2:$C$93,A16,'Test Cases'!$K$2:$K$93,"Blocked")&gt;0,"Blocked",IF(COUNTIFS('Test Cases'!$C$2:$C$93,A16,'Test Cases'!$K$2:$K$93,"Not Executed")&gt;0,"Partial",IF(COUNTIFS('Test Cases'!$C$2:$C$93,A16,'Test Cases'!$K$2:$K$93,"N/A")&gt;0,"Pass with N/A","Pass")))))</f>
        <v>Pass</v>
      </c>
    </row>
    <row r="17" spans="1:7">
      <c r="A17" s="3" t="s">
        <v>120</v>
      </c>
      <c r="B17" s="3" t="s">
        <v>121</v>
      </c>
      <c r="C17" s="3" t="s">
        <v>122</v>
      </c>
      <c r="D17" s="3" t="s">
        <v>66</v>
      </c>
      <c r="E17" s="3" t="s">
        <v>114</v>
      </c>
      <c r="F17" s="3" t="s">
        <v>123</v>
      </c>
      <c r="G17" s="3" t="str">
        <f>IF(COUNTIF('Test Cases'!$C$2:$C$93,A17)=0,"No Cases",IF(COUNTIFS('Test Cases'!$C$2:$C$93,A17,'Test Cases'!$K$2:$K$93,"Fail")&gt;0,"Fail",IF(COUNTIFS('Test Cases'!$C$2:$C$93,A17,'Test Cases'!$K$2:$K$93,"Blocked")&gt;0,"Blocked",IF(COUNTIFS('Test Cases'!$C$2:$C$93,A17,'Test Cases'!$K$2:$K$93,"Not Executed")&gt;0,"Partial",IF(COUNTIFS('Test Cases'!$C$2:$C$93,A17,'Test Cases'!$K$2:$K$93,"N/A")&gt;0,"Pass with N/A","Pass")))))</f>
        <v>Pass</v>
      </c>
    </row>
    <row r="18" spans="1:7">
      <c r="A18" s="3" t="s">
        <v>124</v>
      </c>
      <c r="B18" s="3" t="s">
        <v>121</v>
      </c>
      <c r="C18" s="3" t="s">
        <v>125</v>
      </c>
      <c r="D18" s="3" t="s">
        <v>66</v>
      </c>
      <c r="E18" s="3" t="s">
        <v>104</v>
      </c>
      <c r="F18" s="3" t="s">
        <v>126</v>
      </c>
      <c r="G18" s="3" t="str">
        <f>IF(COUNTIF('Test Cases'!$C$2:$C$93,A18)=0,"No Cases",IF(COUNTIFS('Test Cases'!$C$2:$C$93,A18,'Test Cases'!$K$2:$K$93,"Fail")&gt;0,"Fail",IF(COUNTIFS('Test Cases'!$C$2:$C$93,A18,'Test Cases'!$K$2:$K$93,"Blocked")&gt;0,"Blocked",IF(COUNTIFS('Test Cases'!$C$2:$C$93,A18,'Test Cases'!$K$2:$K$93,"Not Executed")&gt;0,"Partial",IF(COUNTIFS('Test Cases'!$C$2:$C$93,A18,'Test Cases'!$K$2:$K$93,"N/A")&gt;0,"Pass with N/A","Pass")))))</f>
        <v>Pass with N/A</v>
      </c>
    </row>
    <row r="19" spans="1:7">
      <c r="A19" s="3" t="s">
        <v>127</v>
      </c>
      <c r="B19" s="3" t="s">
        <v>128</v>
      </c>
      <c r="C19" s="3" t="s">
        <v>129</v>
      </c>
      <c r="D19" s="3" t="s">
        <v>60</v>
      </c>
      <c r="E19" s="3" t="s">
        <v>130</v>
      </c>
      <c r="F19" s="3" t="s">
        <v>131</v>
      </c>
      <c r="G19" s="3" t="str">
        <f>IF(COUNTIF('Test Cases'!$C$2:$C$93,A19)=0,"No Cases",IF(COUNTIFS('Test Cases'!$C$2:$C$93,A19,'Test Cases'!$K$2:$K$93,"Fail")&gt;0,"Fail",IF(COUNTIFS('Test Cases'!$C$2:$C$93,A19,'Test Cases'!$K$2:$K$93,"Blocked")&gt;0,"Blocked",IF(COUNTIFS('Test Cases'!$C$2:$C$93,A19,'Test Cases'!$K$2:$K$93,"Not Executed")&gt;0,"Partial",IF(COUNTIFS('Test Cases'!$C$2:$C$93,A19,'Test Cases'!$K$2:$K$93,"N/A")&gt;0,"Pass with N/A","Pass")))))</f>
        <v>Pass</v>
      </c>
    </row>
    <row r="20" spans="1:7" ht="15">
      <c r="A20" s="3" t="s">
        <v>132</v>
      </c>
      <c r="B20" s="3" t="s">
        <v>133</v>
      </c>
      <c r="C20" s="3" t="s">
        <v>134</v>
      </c>
      <c r="D20" s="3" t="s">
        <v>81</v>
      </c>
      <c r="E20" s="3" t="s">
        <v>135</v>
      </c>
      <c r="F20" s="3" t="s">
        <v>136</v>
      </c>
      <c r="G20" s="3" t="str">
        <f>IF(COUNTIF('Test Cases'!$C$2:$C$93,A20)=0,"No Cases",IF(COUNTIFS('Test Cases'!$C$2:$C$93,A20,'Test Cases'!$K$2:$K$93,"Fail")&gt;0,"Fail",IF(COUNTIFS('Test Cases'!$C$2:$C$93,A20,'Test Cases'!$K$2:$K$93,"Blocked")&gt;0,"Blocked",IF(COUNTIFS('Test Cases'!$C$2:$C$93,A20,'Test Cases'!$K$2:$K$93,"Not Executed")&gt;0,"Partial",IF(COUNTIFS('Test Cases'!$C$2:$C$93,A20,'Test Cases'!$K$2:$K$93,"N/A")&gt;0,"Pass with N/A","Pass")))))</f>
        <v>Fail</v>
      </c>
    </row>
    <row r="21" spans="1:7">
      <c r="A21" s="3" t="s">
        <v>137</v>
      </c>
      <c r="B21" s="3" t="s">
        <v>138</v>
      </c>
      <c r="C21" s="3" t="s">
        <v>139</v>
      </c>
      <c r="D21" s="3" t="s">
        <v>60</v>
      </c>
      <c r="E21" s="3" t="s">
        <v>140</v>
      </c>
      <c r="F21" s="3" t="s">
        <v>141</v>
      </c>
      <c r="G21" s="3" t="str">
        <f>IF(COUNTIF('Test Cases'!$C$2:$C$93,A21)=0,"No Cases",IF(COUNTIFS('Test Cases'!$C$2:$C$93,A21,'Test Cases'!$K$2:$K$93,"Fail")&gt;0,"Fail",IF(COUNTIFS('Test Cases'!$C$2:$C$93,A21,'Test Cases'!$K$2:$K$93,"Blocked")&gt;0,"Blocked",IF(COUNTIFS('Test Cases'!$C$2:$C$93,A21,'Test Cases'!$K$2:$K$93,"Not Executed")&gt;0,"Partial",IF(COUNTIFS('Test Cases'!$C$2:$C$93,A21,'Test Cases'!$K$2:$K$93,"N/A")&gt;0,"Pass with N/A","Pass")))))</f>
        <v>Pass</v>
      </c>
    </row>
    <row r="22" spans="1:7" ht="28.5">
      <c r="A22" s="3" t="s">
        <v>142</v>
      </c>
      <c r="B22" s="3" t="s">
        <v>143</v>
      </c>
      <c r="C22" s="3" t="s">
        <v>144</v>
      </c>
      <c r="D22" s="3" t="s">
        <v>81</v>
      </c>
      <c r="E22" s="3" t="s">
        <v>143</v>
      </c>
      <c r="F22" s="3" t="s">
        <v>145</v>
      </c>
      <c r="G22" s="3" t="str">
        <f>IF(COUNTIF('Test Cases'!$C$2:$C$93,A22)=0,"No Cases",IF(COUNTIFS('Test Cases'!$C$2:$C$93,A22,'Test Cases'!$K$2:$K$93,"Fail")&gt;0,"Fail",IF(COUNTIFS('Test Cases'!$C$2:$C$93,A22,'Test Cases'!$K$2:$K$93,"Blocked")&gt;0,"Blocked",IF(COUNTIFS('Test Cases'!$C$2:$C$93,A22,'Test Cases'!$K$2:$K$93,"Not Executed")&gt;0,"Partial",IF(COUNTIFS('Test Cases'!$C$2:$C$93,A22,'Test Cases'!$K$2:$K$93,"N/A")&gt;0,"Pass with N/A","Pass")))))</f>
        <v>Pass</v>
      </c>
    </row>
    <row r="23" spans="1:7" ht="28.5">
      <c r="A23" s="3" t="s">
        <v>146</v>
      </c>
      <c r="B23" s="3" t="s">
        <v>147</v>
      </c>
      <c r="C23" s="3" t="s">
        <v>148</v>
      </c>
      <c r="D23" s="3" t="s">
        <v>60</v>
      </c>
      <c r="E23" s="3" t="s">
        <v>149</v>
      </c>
      <c r="F23" s="3" t="s">
        <v>150</v>
      </c>
      <c r="G23" s="3" t="str">
        <f>IF(COUNTIF('Test Cases'!$C$2:$C$93,A23)=0,"No Cases",IF(COUNTIFS('Test Cases'!$C$2:$C$93,A23,'Test Cases'!$K$2:$K$93,"Fail")&gt;0,"Fail",IF(COUNTIFS('Test Cases'!$C$2:$C$93,A23,'Test Cases'!$K$2:$K$93,"Blocked")&gt;0,"Blocked",IF(COUNTIFS('Test Cases'!$C$2:$C$93,A23,'Test Cases'!$K$2:$K$93,"Not Executed")&gt;0,"Partial",IF(COUNTIFS('Test Cases'!$C$2:$C$93,A23,'Test Cases'!$K$2:$K$93,"N/A")&gt;0,"Pass with N/A","Pass")))))</f>
        <v>Pass</v>
      </c>
    </row>
    <row r="24" spans="1:7">
      <c r="A24" s="3" t="s">
        <v>151</v>
      </c>
      <c r="B24" s="3" t="s">
        <v>152</v>
      </c>
      <c r="C24" s="3" t="s">
        <v>153</v>
      </c>
      <c r="D24" s="3" t="s">
        <v>60</v>
      </c>
      <c r="E24" s="3" t="s">
        <v>154</v>
      </c>
      <c r="F24" s="3" t="s">
        <v>155</v>
      </c>
      <c r="G24" s="3" t="str">
        <f>IF(COUNTIF('Test Cases'!$C$2:$C$93,A24)=0,"No Cases",IF(COUNTIFS('Test Cases'!$C$2:$C$93,A24,'Test Cases'!$K$2:$K$93,"Fail")&gt;0,"Fail",IF(COUNTIFS('Test Cases'!$C$2:$C$93,A24,'Test Cases'!$K$2:$K$93,"Blocked")&gt;0,"Blocked",IF(COUNTIFS('Test Cases'!$C$2:$C$93,A24,'Test Cases'!$K$2:$K$93,"Not Executed")&gt;0,"Partial",IF(COUNTIFS('Test Cases'!$C$2:$C$93,A24,'Test Cases'!$K$2:$K$93,"N/A")&gt;0,"Pass with N/A","Pass")))))</f>
        <v>Pass</v>
      </c>
    </row>
    <row r="25" spans="1:7" ht="28.5">
      <c r="A25" s="3" t="s">
        <v>156</v>
      </c>
      <c r="B25" s="3" t="s">
        <v>157</v>
      </c>
      <c r="C25" s="3" t="s">
        <v>158</v>
      </c>
      <c r="D25" s="3" t="s">
        <v>81</v>
      </c>
      <c r="E25" s="3" t="s">
        <v>159</v>
      </c>
      <c r="F25" s="3" t="s">
        <v>160</v>
      </c>
      <c r="G25" s="3" t="str">
        <f>IF(COUNTIF('Test Cases'!$C$2:$C$93,A25)=0,"No Cases",IF(COUNTIFS('Test Cases'!$C$2:$C$93,A25,'Test Cases'!$K$2:$K$93,"Fail")&gt;0,"Fail",IF(COUNTIFS('Test Cases'!$C$2:$C$93,A25,'Test Cases'!$K$2:$K$93,"Blocked")&gt;0,"Blocked",IF(COUNTIFS('Test Cases'!$C$2:$C$93,A25,'Test Cases'!$K$2:$K$93,"Not Executed")&gt;0,"Partial",IF(COUNTIFS('Test Cases'!$C$2:$C$93,A25,'Test Cases'!$K$2:$K$93,"N/A")&gt;0,"Pass with N/A","Pass")))))</f>
        <v>Pass</v>
      </c>
    </row>
    <row r="26" spans="1:7" ht="28.5">
      <c r="A26" s="3" t="s">
        <v>161</v>
      </c>
      <c r="B26" s="3" t="s">
        <v>162</v>
      </c>
      <c r="C26" s="3" t="s">
        <v>163</v>
      </c>
      <c r="D26" s="3" t="s">
        <v>66</v>
      </c>
      <c r="E26" s="3" t="s">
        <v>162</v>
      </c>
      <c r="F26" s="3" t="s">
        <v>164</v>
      </c>
      <c r="G26" s="14" t="s">
        <v>814</v>
      </c>
    </row>
  </sheetData>
  <conditionalFormatting sqref="G2:G26">
    <cfRule type="expression" dxfId="12" priority="1">
      <formula>G2="Pass"</formula>
    </cfRule>
    <cfRule type="expression" dxfId="11" priority="2">
      <formula>G2="Fail"</formula>
    </cfRule>
    <cfRule type="expression" dxfId="10" priority="3">
      <formula>G2="Pass with N/A"</formula>
    </cfRule>
  </conditionalFormatting>
  <dataValidations count="1">
    <dataValidation type="list" sqref="D2:D26">
      <formula1>"Critical,High,Medium,Low"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3"/>
  <sheetViews>
    <sheetView workbookViewId="0"/>
  </sheetViews>
  <sheetFormatPr defaultRowHeight="14.25"/>
  <cols>
    <col min="1" max="1" width="11" customWidth="1"/>
    <col min="2" max="2" width="20" customWidth="1"/>
    <col min="3" max="3" width="13" customWidth="1"/>
    <col min="4" max="4" width="42" customWidth="1"/>
    <col min="5" max="5" width="30" customWidth="1"/>
    <col min="6" max="6" width="52" customWidth="1"/>
    <col min="7" max="7" width="26" customWidth="1"/>
    <col min="8" max="8" width="52" customWidth="1"/>
    <col min="9" max="9" width="12" customWidth="1"/>
    <col min="10" max="10" width="20" customWidth="1"/>
    <col min="11" max="11" width="15" customWidth="1"/>
    <col min="12" max="12" width="35" customWidth="1"/>
    <col min="13" max="13" width="12" customWidth="1"/>
    <col min="14" max="14" width="32" customWidth="1"/>
  </cols>
  <sheetData>
    <row r="1" spans="1:14" ht="15">
      <c r="A1" s="1" t="s">
        <v>165</v>
      </c>
      <c r="B1" s="1" t="s">
        <v>52</v>
      </c>
      <c r="C1" s="1" t="s">
        <v>51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54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</row>
    <row r="2" spans="1:14" ht="28.5">
      <c r="A2" s="3" t="s">
        <v>176</v>
      </c>
      <c r="B2" s="3" t="s">
        <v>58</v>
      </c>
      <c r="C2" s="3" t="s">
        <v>57</v>
      </c>
      <c r="D2" s="3" t="s">
        <v>177</v>
      </c>
      <c r="E2" s="3" t="s">
        <v>178</v>
      </c>
      <c r="F2" s="3" t="s">
        <v>179</v>
      </c>
      <c r="G2" s="3" t="s">
        <v>180</v>
      </c>
      <c r="H2" s="3" t="s">
        <v>181</v>
      </c>
      <c r="I2" s="3" t="s">
        <v>66</v>
      </c>
      <c r="J2" s="3" t="s">
        <v>182</v>
      </c>
      <c r="K2" s="3" t="s">
        <v>183</v>
      </c>
      <c r="L2" s="3" t="s">
        <v>815</v>
      </c>
      <c r="M2" s="3"/>
      <c r="N2" s="3"/>
    </row>
    <row r="3" spans="1:14" ht="28.5">
      <c r="A3" s="3" t="s">
        <v>184</v>
      </c>
      <c r="B3" s="3" t="s">
        <v>58</v>
      </c>
      <c r="C3" s="3" t="s">
        <v>57</v>
      </c>
      <c r="D3" s="3" t="s">
        <v>185</v>
      </c>
      <c r="E3" s="3" t="s">
        <v>186</v>
      </c>
      <c r="F3" s="3" t="s">
        <v>187</v>
      </c>
      <c r="G3" s="3" t="s">
        <v>180</v>
      </c>
      <c r="H3" s="3" t="s">
        <v>188</v>
      </c>
      <c r="I3" s="3" t="s">
        <v>60</v>
      </c>
      <c r="J3" s="3" t="s">
        <v>189</v>
      </c>
      <c r="K3" s="3" t="s">
        <v>183</v>
      </c>
      <c r="L3" s="3" t="s">
        <v>815</v>
      </c>
      <c r="M3" s="3"/>
      <c r="N3" s="3"/>
    </row>
    <row r="4" spans="1:14" ht="28.5">
      <c r="A4" s="3" t="s">
        <v>190</v>
      </c>
      <c r="B4" s="3" t="s">
        <v>58</v>
      </c>
      <c r="C4" s="3" t="s">
        <v>57</v>
      </c>
      <c r="D4" s="3" t="s">
        <v>191</v>
      </c>
      <c r="E4" s="3" t="s">
        <v>186</v>
      </c>
      <c r="F4" s="3" t="s">
        <v>192</v>
      </c>
      <c r="G4" s="3" t="s">
        <v>193</v>
      </c>
      <c r="H4" s="3" t="s">
        <v>194</v>
      </c>
      <c r="I4" s="3" t="s">
        <v>60</v>
      </c>
      <c r="J4" s="3" t="s">
        <v>195</v>
      </c>
      <c r="K4" s="3" t="s">
        <v>183</v>
      </c>
      <c r="L4" s="3" t="s">
        <v>815</v>
      </c>
      <c r="M4" s="3"/>
      <c r="N4" s="3"/>
    </row>
    <row r="5" spans="1:14" ht="28.5">
      <c r="A5" s="3" t="s">
        <v>196</v>
      </c>
      <c r="B5" s="3" t="s">
        <v>58</v>
      </c>
      <c r="C5" s="3" t="s">
        <v>57</v>
      </c>
      <c r="D5" s="3" t="s">
        <v>197</v>
      </c>
      <c r="E5" s="3" t="s">
        <v>186</v>
      </c>
      <c r="F5" s="3" t="s">
        <v>198</v>
      </c>
      <c r="G5" s="3" t="s">
        <v>180</v>
      </c>
      <c r="H5" s="3" t="s">
        <v>199</v>
      </c>
      <c r="I5" s="3" t="s">
        <v>81</v>
      </c>
      <c r="J5" s="3" t="s">
        <v>195</v>
      </c>
      <c r="K5" s="3" t="s">
        <v>183</v>
      </c>
      <c r="L5" s="3" t="s">
        <v>815</v>
      </c>
      <c r="M5" s="3"/>
      <c r="N5" s="3"/>
    </row>
    <row r="6" spans="1:14" ht="28.5">
      <c r="A6" s="3" t="s">
        <v>200</v>
      </c>
      <c r="B6" s="3" t="s">
        <v>58</v>
      </c>
      <c r="C6" s="3" t="s">
        <v>57</v>
      </c>
      <c r="D6" s="3" t="s">
        <v>201</v>
      </c>
      <c r="E6" s="3" t="s">
        <v>186</v>
      </c>
      <c r="F6" s="3" t="s">
        <v>202</v>
      </c>
      <c r="G6" s="3" t="s">
        <v>180</v>
      </c>
      <c r="H6" s="3" t="s">
        <v>203</v>
      </c>
      <c r="I6" s="3" t="s">
        <v>204</v>
      </c>
      <c r="J6" s="3" t="s">
        <v>205</v>
      </c>
      <c r="K6" s="3" t="s">
        <v>183</v>
      </c>
      <c r="L6" s="3" t="s">
        <v>815</v>
      </c>
      <c r="M6" s="3"/>
      <c r="N6" s="3"/>
    </row>
    <row r="7" spans="1:14" ht="28.5">
      <c r="A7" s="3" t="s">
        <v>206</v>
      </c>
      <c r="B7" s="3" t="s">
        <v>64</v>
      </c>
      <c r="C7" s="3" t="s">
        <v>63</v>
      </c>
      <c r="D7" s="3" t="s">
        <v>207</v>
      </c>
      <c r="E7" s="3" t="s">
        <v>186</v>
      </c>
      <c r="F7" s="3" t="s">
        <v>208</v>
      </c>
      <c r="G7" s="3" t="s">
        <v>209</v>
      </c>
      <c r="H7" s="3" t="s">
        <v>210</v>
      </c>
      <c r="I7" s="3" t="s">
        <v>66</v>
      </c>
      <c r="J7" s="3" t="s">
        <v>67</v>
      </c>
      <c r="K7" s="3" t="s">
        <v>183</v>
      </c>
      <c r="L7" s="3" t="s">
        <v>815</v>
      </c>
      <c r="M7" s="3"/>
      <c r="N7" s="3"/>
    </row>
    <row r="8" spans="1:14" ht="28.5">
      <c r="A8" s="3" t="s">
        <v>211</v>
      </c>
      <c r="B8" s="3" t="s">
        <v>64</v>
      </c>
      <c r="C8" s="3" t="s">
        <v>63</v>
      </c>
      <c r="D8" s="3" t="s">
        <v>212</v>
      </c>
      <c r="E8" s="3" t="s">
        <v>186</v>
      </c>
      <c r="F8" s="3" t="s">
        <v>213</v>
      </c>
      <c r="G8" s="3" t="s">
        <v>214</v>
      </c>
      <c r="H8" s="3" t="s">
        <v>215</v>
      </c>
      <c r="I8" s="3" t="s">
        <v>60</v>
      </c>
      <c r="J8" s="3" t="s">
        <v>67</v>
      </c>
      <c r="K8" s="3" t="s">
        <v>183</v>
      </c>
      <c r="L8" s="3" t="s">
        <v>815</v>
      </c>
      <c r="M8" s="3"/>
      <c r="N8" s="3"/>
    </row>
    <row r="9" spans="1:14" ht="28.5">
      <c r="A9" s="3" t="s">
        <v>216</v>
      </c>
      <c r="B9" s="3" t="s">
        <v>64</v>
      </c>
      <c r="C9" s="3" t="s">
        <v>63</v>
      </c>
      <c r="D9" s="3" t="s">
        <v>217</v>
      </c>
      <c r="E9" s="3" t="s">
        <v>186</v>
      </c>
      <c r="F9" s="3" t="s">
        <v>218</v>
      </c>
      <c r="G9" s="3" t="s">
        <v>219</v>
      </c>
      <c r="H9" s="3" t="s">
        <v>220</v>
      </c>
      <c r="I9" s="3" t="s">
        <v>81</v>
      </c>
      <c r="J9" s="3" t="s">
        <v>67</v>
      </c>
      <c r="K9" s="3" t="s">
        <v>183</v>
      </c>
      <c r="L9" s="3" t="s">
        <v>815</v>
      </c>
      <c r="M9" s="3"/>
      <c r="N9" s="3"/>
    </row>
    <row r="10" spans="1:14" ht="28.5">
      <c r="A10" s="3" t="s">
        <v>221</v>
      </c>
      <c r="B10" s="3" t="s">
        <v>64</v>
      </c>
      <c r="C10" s="3" t="s">
        <v>69</v>
      </c>
      <c r="D10" s="3" t="s">
        <v>222</v>
      </c>
      <c r="E10" s="3" t="s">
        <v>186</v>
      </c>
      <c r="F10" s="3" t="s">
        <v>223</v>
      </c>
      <c r="G10" s="3" t="s">
        <v>224</v>
      </c>
      <c r="H10" s="3" t="s">
        <v>225</v>
      </c>
      <c r="I10" s="3" t="s">
        <v>81</v>
      </c>
      <c r="J10" s="3" t="s">
        <v>226</v>
      </c>
      <c r="K10" s="3" t="s">
        <v>183</v>
      </c>
      <c r="L10" s="3" t="s">
        <v>815</v>
      </c>
      <c r="M10" s="3"/>
      <c r="N10" s="3"/>
    </row>
    <row r="11" spans="1:14" ht="28.5">
      <c r="A11" s="3" t="s">
        <v>227</v>
      </c>
      <c r="B11" s="3" t="s">
        <v>64</v>
      </c>
      <c r="C11" s="3" t="s">
        <v>69</v>
      </c>
      <c r="D11" s="3" t="s">
        <v>228</v>
      </c>
      <c r="E11" s="3" t="s">
        <v>186</v>
      </c>
      <c r="F11" s="3" t="s">
        <v>229</v>
      </c>
      <c r="G11" s="3" t="s">
        <v>230</v>
      </c>
      <c r="H11" s="3" t="s">
        <v>231</v>
      </c>
      <c r="I11" s="3" t="s">
        <v>81</v>
      </c>
      <c r="J11" s="3" t="s">
        <v>226</v>
      </c>
      <c r="K11" s="3" t="s">
        <v>183</v>
      </c>
      <c r="L11" s="3" t="s">
        <v>815</v>
      </c>
      <c r="M11" s="3"/>
      <c r="N11" s="3"/>
    </row>
    <row r="12" spans="1:14" ht="28.5">
      <c r="A12" s="3" t="s">
        <v>232</v>
      </c>
      <c r="B12" s="3" t="s">
        <v>64</v>
      </c>
      <c r="C12" s="3" t="s">
        <v>69</v>
      </c>
      <c r="D12" s="3" t="s">
        <v>233</v>
      </c>
      <c r="E12" s="3" t="s">
        <v>186</v>
      </c>
      <c r="F12" s="3" t="s">
        <v>234</v>
      </c>
      <c r="G12" s="3" t="s">
        <v>235</v>
      </c>
      <c r="H12" s="3" t="s">
        <v>236</v>
      </c>
      <c r="I12" s="3" t="s">
        <v>60</v>
      </c>
      <c r="J12" s="3" t="s">
        <v>149</v>
      </c>
      <c r="K12" s="3" t="s">
        <v>183</v>
      </c>
      <c r="L12" s="3" t="s">
        <v>815</v>
      </c>
      <c r="M12" s="3"/>
      <c r="N12" s="3"/>
    </row>
    <row r="13" spans="1:14" ht="28.5">
      <c r="A13" s="3" t="s">
        <v>237</v>
      </c>
      <c r="B13" s="3" t="s">
        <v>64</v>
      </c>
      <c r="C13" s="3" t="s">
        <v>69</v>
      </c>
      <c r="D13" s="3" t="s">
        <v>238</v>
      </c>
      <c r="E13" s="3" t="s">
        <v>186</v>
      </c>
      <c r="F13" s="3" t="s">
        <v>239</v>
      </c>
      <c r="G13" s="3" t="s">
        <v>240</v>
      </c>
      <c r="H13" s="3" t="s">
        <v>241</v>
      </c>
      <c r="I13" s="3" t="s">
        <v>81</v>
      </c>
      <c r="J13" s="3" t="s">
        <v>242</v>
      </c>
      <c r="K13" s="3" t="s">
        <v>183</v>
      </c>
      <c r="L13" s="3" t="s">
        <v>815</v>
      </c>
      <c r="M13" s="3"/>
      <c r="N13" s="3"/>
    </row>
    <row r="14" spans="1:14" ht="28.5">
      <c r="A14" s="3" t="s">
        <v>243</v>
      </c>
      <c r="B14" s="3" t="s">
        <v>64</v>
      </c>
      <c r="C14" s="3" t="s">
        <v>69</v>
      </c>
      <c r="D14" s="3" t="s">
        <v>244</v>
      </c>
      <c r="E14" s="3" t="s">
        <v>186</v>
      </c>
      <c r="F14" s="3" t="s">
        <v>245</v>
      </c>
      <c r="G14" s="6" t="s">
        <v>246</v>
      </c>
      <c r="H14" s="3" t="s">
        <v>247</v>
      </c>
      <c r="I14" s="3" t="s">
        <v>60</v>
      </c>
      <c r="J14" s="3" t="s">
        <v>149</v>
      </c>
      <c r="K14" s="3" t="s">
        <v>183</v>
      </c>
      <c r="L14" s="3" t="s">
        <v>815</v>
      </c>
      <c r="M14" s="3"/>
      <c r="N14" s="3"/>
    </row>
    <row r="15" spans="1:14" ht="28.5">
      <c r="A15" s="3" t="s">
        <v>248</v>
      </c>
      <c r="B15" s="3" t="s">
        <v>74</v>
      </c>
      <c r="C15" s="3" t="s">
        <v>73</v>
      </c>
      <c r="D15" s="3" t="s">
        <v>249</v>
      </c>
      <c r="E15" s="3" t="s">
        <v>250</v>
      </c>
      <c r="F15" s="3" t="s">
        <v>251</v>
      </c>
      <c r="G15" s="3" t="s">
        <v>180</v>
      </c>
      <c r="H15" s="3" t="s">
        <v>252</v>
      </c>
      <c r="I15" s="3" t="s">
        <v>60</v>
      </c>
      <c r="J15" s="3" t="s">
        <v>189</v>
      </c>
      <c r="K15" s="3" t="s">
        <v>183</v>
      </c>
      <c r="L15" s="3" t="s">
        <v>815</v>
      </c>
      <c r="M15" s="3"/>
      <c r="N15" s="3"/>
    </row>
    <row r="16" spans="1:14" ht="28.5">
      <c r="A16" s="3" t="s">
        <v>253</v>
      </c>
      <c r="B16" s="3" t="s">
        <v>74</v>
      </c>
      <c r="C16" s="3" t="s">
        <v>76</v>
      </c>
      <c r="D16" s="3" t="s">
        <v>254</v>
      </c>
      <c r="E16" s="3" t="s">
        <v>250</v>
      </c>
      <c r="F16" s="3" t="s">
        <v>255</v>
      </c>
      <c r="G16" s="3" t="s">
        <v>214</v>
      </c>
      <c r="H16" s="3" t="s">
        <v>256</v>
      </c>
      <c r="I16" s="3" t="s">
        <v>60</v>
      </c>
      <c r="J16" s="3" t="s">
        <v>67</v>
      </c>
      <c r="K16" s="3" t="s">
        <v>183</v>
      </c>
      <c r="L16" s="3" t="s">
        <v>815</v>
      </c>
      <c r="M16" s="3"/>
      <c r="N16" s="3"/>
    </row>
    <row r="17" spans="1:14" ht="28.5">
      <c r="A17" s="3" t="s">
        <v>257</v>
      </c>
      <c r="B17" s="3" t="s">
        <v>74</v>
      </c>
      <c r="C17" s="3" t="s">
        <v>76</v>
      </c>
      <c r="D17" s="3" t="s">
        <v>258</v>
      </c>
      <c r="E17" s="3" t="s">
        <v>250</v>
      </c>
      <c r="F17" s="3" t="s">
        <v>259</v>
      </c>
      <c r="G17" s="3" t="s">
        <v>260</v>
      </c>
      <c r="H17" s="3" t="s">
        <v>261</v>
      </c>
      <c r="I17" s="3" t="s">
        <v>81</v>
      </c>
      <c r="J17" s="3" t="s">
        <v>67</v>
      </c>
      <c r="K17" s="3" t="s">
        <v>183</v>
      </c>
      <c r="L17" s="3" t="s">
        <v>815</v>
      </c>
      <c r="M17" s="3"/>
      <c r="N17" s="3"/>
    </row>
    <row r="18" spans="1:14" ht="28.5">
      <c r="A18" s="3" t="s">
        <v>262</v>
      </c>
      <c r="B18" s="3" t="s">
        <v>74</v>
      </c>
      <c r="C18" s="3" t="s">
        <v>76</v>
      </c>
      <c r="D18" s="3" t="s">
        <v>263</v>
      </c>
      <c r="E18" s="3" t="s">
        <v>264</v>
      </c>
      <c r="F18" s="3" t="s">
        <v>265</v>
      </c>
      <c r="G18" s="3" t="s">
        <v>180</v>
      </c>
      <c r="H18" s="3" t="s">
        <v>266</v>
      </c>
      <c r="I18" s="3" t="s">
        <v>60</v>
      </c>
      <c r="J18" s="3" t="s">
        <v>67</v>
      </c>
      <c r="K18" s="3" t="s">
        <v>183</v>
      </c>
      <c r="L18" s="3" t="s">
        <v>815</v>
      </c>
      <c r="M18" s="3"/>
      <c r="N18" s="3"/>
    </row>
    <row r="19" spans="1:14" ht="28.5">
      <c r="A19" s="3" t="s">
        <v>267</v>
      </c>
      <c r="B19" s="3" t="s">
        <v>74</v>
      </c>
      <c r="C19" s="3" t="s">
        <v>79</v>
      </c>
      <c r="D19" s="3" t="s">
        <v>268</v>
      </c>
      <c r="E19" s="3" t="s">
        <v>250</v>
      </c>
      <c r="F19" s="3" t="s">
        <v>269</v>
      </c>
      <c r="G19" s="3" t="s">
        <v>270</v>
      </c>
      <c r="H19" s="3" t="s">
        <v>271</v>
      </c>
      <c r="I19" s="3" t="s">
        <v>81</v>
      </c>
      <c r="J19" s="3" t="s">
        <v>67</v>
      </c>
      <c r="K19" s="3" t="s">
        <v>183</v>
      </c>
      <c r="L19" s="3" t="s">
        <v>815</v>
      </c>
      <c r="M19" s="3"/>
      <c r="N19" s="3"/>
    </row>
    <row r="20" spans="1:14" ht="28.5">
      <c r="A20" s="3" t="s">
        <v>272</v>
      </c>
      <c r="B20" s="3" t="s">
        <v>74</v>
      </c>
      <c r="C20" s="3" t="s">
        <v>83</v>
      </c>
      <c r="D20" s="3" t="s">
        <v>273</v>
      </c>
      <c r="E20" s="3" t="s">
        <v>250</v>
      </c>
      <c r="F20" s="3" t="s">
        <v>274</v>
      </c>
      <c r="G20" s="3" t="s">
        <v>275</v>
      </c>
      <c r="H20" s="3" t="s">
        <v>276</v>
      </c>
      <c r="I20" s="3" t="s">
        <v>81</v>
      </c>
      <c r="J20" s="3" t="s">
        <v>85</v>
      </c>
      <c r="K20" s="3" t="s">
        <v>183</v>
      </c>
      <c r="L20" s="3" t="s">
        <v>815</v>
      </c>
      <c r="M20" s="3"/>
      <c r="N20" s="3"/>
    </row>
    <row r="21" spans="1:14" ht="28.5">
      <c r="A21" s="3" t="s">
        <v>277</v>
      </c>
      <c r="B21" s="3" t="s">
        <v>74</v>
      </c>
      <c r="C21" s="3" t="s">
        <v>73</v>
      </c>
      <c r="D21" s="3" t="s">
        <v>278</v>
      </c>
      <c r="E21" s="3" t="s">
        <v>279</v>
      </c>
      <c r="F21" s="3" t="s">
        <v>280</v>
      </c>
      <c r="G21" s="3" t="s">
        <v>281</v>
      </c>
      <c r="H21" s="3" t="s">
        <v>282</v>
      </c>
      <c r="I21" s="3" t="s">
        <v>60</v>
      </c>
      <c r="J21" s="3" t="s">
        <v>195</v>
      </c>
      <c r="K21" s="3" t="s">
        <v>183</v>
      </c>
      <c r="L21" s="3" t="s">
        <v>815</v>
      </c>
      <c r="M21" s="3"/>
      <c r="N21" s="3"/>
    </row>
    <row r="22" spans="1:14" ht="28.5">
      <c r="A22" s="3" t="s">
        <v>283</v>
      </c>
      <c r="B22" s="3" t="s">
        <v>88</v>
      </c>
      <c r="C22" s="3" t="s">
        <v>87</v>
      </c>
      <c r="D22" s="3" t="s">
        <v>284</v>
      </c>
      <c r="E22" s="3" t="s">
        <v>285</v>
      </c>
      <c r="F22" s="3" t="s">
        <v>286</v>
      </c>
      <c r="G22" s="3" t="s">
        <v>180</v>
      </c>
      <c r="H22" s="3" t="s">
        <v>287</v>
      </c>
      <c r="I22" s="3" t="s">
        <v>60</v>
      </c>
      <c r="J22" s="3" t="s">
        <v>205</v>
      </c>
      <c r="K22" s="3" t="s">
        <v>183</v>
      </c>
      <c r="L22" s="3" t="s">
        <v>815</v>
      </c>
      <c r="M22" s="3"/>
      <c r="N22" s="3"/>
    </row>
    <row r="23" spans="1:14" ht="43.5">
      <c r="A23" s="3" t="s">
        <v>288</v>
      </c>
      <c r="B23" s="3" t="s">
        <v>88</v>
      </c>
      <c r="C23" s="3" t="s">
        <v>87</v>
      </c>
      <c r="D23" s="3" t="s">
        <v>289</v>
      </c>
      <c r="E23" s="3" t="s">
        <v>285</v>
      </c>
      <c r="F23" s="3" t="s">
        <v>290</v>
      </c>
      <c r="G23" s="3" t="s">
        <v>180</v>
      </c>
      <c r="H23" s="3" t="s">
        <v>291</v>
      </c>
      <c r="I23" s="3" t="s">
        <v>81</v>
      </c>
      <c r="J23" s="3" t="s">
        <v>292</v>
      </c>
      <c r="K23" s="3" t="s">
        <v>293</v>
      </c>
      <c r="L23" s="3" t="s">
        <v>816</v>
      </c>
      <c r="M23" s="3" t="s">
        <v>817</v>
      </c>
      <c r="N23" s="3" t="s">
        <v>818</v>
      </c>
    </row>
    <row r="24" spans="1:14" ht="28.5">
      <c r="A24" s="3" t="s">
        <v>294</v>
      </c>
      <c r="B24" s="3" t="s">
        <v>88</v>
      </c>
      <c r="C24" s="3" t="s">
        <v>87</v>
      </c>
      <c r="D24" s="3" t="s">
        <v>295</v>
      </c>
      <c r="E24" s="3" t="s">
        <v>285</v>
      </c>
      <c r="F24" s="3" t="s">
        <v>296</v>
      </c>
      <c r="G24" s="3" t="s">
        <v>180</v>
      </c>
      <c r="H24" s="3" t="s">
        <v>297</v>
      </c>
      <c r="I24" s="3" t="s">
        <v>81</v>
      </c>
      <c r="J24" s="3" t="s">
        <v>292</v>
      </c>
      <c r="K24" s="3" t="s">
        <v>183</v>
      </c>
      <c r="L24" s="3" t="s">
        <v>815</v>
      </c>
      <c r="M24" s="3"/>
      <c r="N24" s="3"/>
    </row>
    <row r="25" spans="1:14" ht="28.5">
      <c r="A25" s="3" t="s">
        <v>298</v>
      </c>
      <c r="B25" s="3" t="s">
        <v>92</v>
      </c>
      <c r="C25" s="3" t="s">
        <v>91</v>
      </c>
      <c r="D25" s="3" t="s">
        <v>299</v>
      </c>
      <c r="E25" s="3" t="s">
        <v>285</v>
      </c>
      <c r="F25" s="3" t="s">
        <v>300</v>
      </c>
      <c r="G25" s="3" t="s">
        <v>214</v>
      </c>
      <c r="H25" s="3" t="s">
        <v>301</v>
      </c>
      <c r="I25" s="3" t="s">
        <v>60</v>
      </c>
      <c r="J25" s="3" t="s">
        <v>67</v>
      </c>
      <c r="K25" s="3" t="s">
        <v>183</v>
      </c>
      <c r="L25" s="3" t="s">
        <v>815</v>
      </c>
      <c r="M25" s="3"/>
      <c r="N25" s="3"/>
    </row>
    <row r="26" spans="1:14" ht="28.5">
      <c r="A26" s="3" t="s">
        <v>302</v>
      </c>
      <c r="B26" s="3" t="s">
        <v>92</v>
      </c>
      <c r="C26" s="3" t="s">
        <v>91</v>
      </c>
      <c r="D26" s="3" t="s">
        <v>303</v>
      </c>
      <c r="E26" s="3" t="s">
        <v>285</v>
      </c>
      <c r="F26" s="3" t="s">
        <v>304</v>
      </c>
      <c r="G26" s="3" t="s">
        <v>305</v>
      </c>
      <c r="H26" s="3" t="s">
        <v>306</v>
      </c>
      <c r="I26" s="3" t="s">
        <v>81</v>
      </c>
      <c r="J26" s="3" t="s">
        <v>226</v>
      </c>
      <c r="K26" s="3" t="s">
        <v>183</v>
      </c>
      <c r="L26" s="3" t="s">
        <v>815</v>
      </c>
      <c r="M26" s="3"/>
      <c r="N26" s="3"/>
    </row>
    <row r="27" spans="1:14" ht="28.5">
      <c r="A27" s="3" t="s">
        <v>307</v>
      </c>
      <c r="B27" s="3" t="s">
        <v>92</v>
      </c>
      <c r="C27" s="3" t="s">
        <v>91</v>
      </c>
      <c r="D27" s="3" t="s">
        <v>308</v>
      </c>
      <c r="E27" s="3" t="s">
        <v>309</v>
      </c>
      <c r="F27" s="3" t="s">
        <v>310</v>
      </c>
      <c r="G27" s="3" t="s">
        <v>311</v>
      </c>
      <c r="H27" s="3" t="s">
        <v>312</v>
      </c>
      <c r="I27" s="3" t="s">
        <v>60</v>
      </c>
      <c r="J27" s="3" t="s">
        <v>67</v>
      </c>
      <c r="K27" s="3" t="s">
        <v>183</v>
      </c>
      <c r="L27" s="3" t="s">
        <v>815</v>
      </c>
      <c r="M27" s="3"/>
      <c r="N27" s="3"/>
    </row>
    <row r="28" spans="1:14" ht="28.5">
      <c r="A28" s="3" t="s">
        <v>313</v>
      </c>
      <c r="B28" s="3" t="s">
        <v>88</v>
      </c>
      <c r="C28" s="3" t="s">
        <v>87</v>
      </c>
      <c r="D28" s="3" t="s">
        <v>314</v>
      </c>
      <c r="E28" s="3" t="s">
        <v>285</v>
      </c>
      <c r="F28" s="3" t="s">
        <v>315</v>
      </c>
      <c r="G28" s="3" t="s">
        <v>180</v>
      </c>
      <c r="H28" s="3" t="s">
        <v>316</v>
      </c>
      <c r="I28" s="3" t="s">
        <v>66</v>
      </c>
      <c r="J28" s="3" t="s">
        <v>292</v>
      </c>
      <c r="K28" s="3" t="s">
        <v>183</v>
      </c>
      <c r="L28" s="3" t="s">
        <v>815</v>
      </c>
      <c r="M28" s="3"/>
      <c r="N28" s="3"/>
    </row>
    <row r="29" spans="1:14" ht="28.5">
      <c r="A29" s="3" t="s">
        <v>317</v>
      </c>
      <c r="B29" s="3" t="s">
        <v>88</v>
      </c>
      <c r="C29" s="3" t="s">
        <v>87</v>
      </c>
      <c r="D29" s="3" t="s">
        <v>318</v>
      </c>
      <c r="E29" s="3" t="s">
        <v>319</v>
      </c>
      <c r="F29" s="3" t="s">
        <v>320</v>
      </c>
      <c r="G29" s="3" t="s">
        <v>321</v>
      </c>
      <c r="H29" s="3" t="s">
        <v>322</v>
      </c>
      <c r="I29" s="3" t="s">
        <v>60</v>
      </c>
      <c r="J29" s="3" t="s">
        <v>323</v>
      </c>
      <c r="K29" s="3" t="s">
        <v>183</v>
      </c>
      <c r="L29" s="3" t="s">
        <v>815</v>
      </c>
      <c r="M29" s="3"/>
      <c r="N29" s="3"/>
    </row>
    <row r="30" spans="1:14" ht="28.5">
      <c r="A30" s="3" t="s">
        <v>324</v>
      </c>
      <c r="B30" s="3" t="s">
        <v>88</v>
      </c>
      <c r="C30" s="3" t="s">
        <v>87</v>
      </c>
      <c r="D30" s="3" t="s">
        <v>325</v>
      </c>
      <c r="E30" s="3" t="s">
        <v>326</v>
      </c>
      <c r="F30" s="3" t="s">
        <v>327</v>
      </c>
      <c r="G30" s="3" t="s">
        <v>180</v>
      </c>
      <c r="H30" s="3" t="s">
        <v>328</v>
      </c>
      <c r="I30" s="3" t="s">
        <v>204</v>
      </c>
      <c r="J30" s="3" t="s">
        <v>195</v>
      </c>
      <c r="K30" s="3" t="s">
        <v>183</v>
      </c>
      <c r="L30" s="3" t="s">
        <v>815</v>
      </c>
      <c r="M30" s="3"/>
      <c r="N30" s="3"/>
    </row>
    <row r="31" spans="1:14" ht="28.5">
      <c r="A31" s="3" t="s">
        <v>329</v>
      </c>
      <c r="B31" s="3" t="s">
        <v>96</v>
      </c>
      <c r="C31" s="3" t="s">
        <v>95</v>
      </c>
      <c r="D31" s="3" t="s">
        <v>330</v>
      </c>
      <c r="E31" s="3" t="s">
        <v>331</v>
      </c>
      <c r="F31" s="3" t="s">
        <v>332</v>
      </c>
      <c r="G31" s="3" t="s">
        <v>333</v>
      </c>
      <c r="H31" s="3" t="s">
        <v>334</v>
      </c>
      <c r="I31" s="3" t="s">
        <v>66</v>
      </c>
      <c r="J31" s="3" t="s">
        <v>67</v>
      </c>
      <c r="K31" s="3" t="s">
        <v>183</v>
      </c>
      <c r="L31" s="3" t="s">
        <v>815</v>
      </c>
      <c r="M31" s="3"/>
      <c r="N31" s="3"/>
    </row>
    <row r="32" spans="1:14" ht="28.5">
      <c r="A32" s="3" t="s">
        <v>335</v>
      </c>
      <c r="B32" s="3" t="s">
        <v>96</v>
      </c>
      <c r="C32" s="3" t="s">
        <v>95</v>
      </c>
      <c r="D32" s="3" t="s">
        <v>336</v>
      </c>
      <c r="E32" s="3" t="s">
        <v>337</v>
      </c>
      <c r="F32" s="3" t="s">
        <v>338</v>
      </c>
      <c r="G32" s="3" t="s">
        <v>339</v>
      </c>
      <c r="H32" s="3" t="s">
        <v>340</v>
      </c>
      <c r="I32" s="3" t="s">
        <v>66</v>
      </c>
      <c r="J32" s="3" t="s">
        <v>67</v>
      </c>
      <c r="K32" s="3" t="s">
        <v>183</v>
      </c>
      <c r="L32" s="3" t="s">
        <v>815</v>
      </c>
      <c r="M32" s="3"/>
      <c r="N32" s="3"/>
    </row>
    <row r="33" spans="1:14" ht="28.5">
      <c r="A33" s="3" t="s">
        <v>341</v>
      </c>
      <c r="B33" s="3" t="s">
        <v>96</v>
      </c>
      <c r="C33" s="3" t="s">
        <v>99</v>
      </c>
      <c r="D33" s="3" t="s">
        <v>342</v>
      </c>
      <c r="E33" s="3" t="s">
        <v>343</v>
      </c>
      <c r="F33" s="3" t="s">
        <v>344</v>
      </c>
      <c r="G33" s="3" t="s">
        <v>345</v>
      </c>
      <c r="H33" s="3" t="s">
        <v>346</v>
      </c>
      <c r="I33" s="3" t="s">
        <v>66</v>
      </c>
      <c r="J33" s="3" t="s">
        <v>67</v>
      </c>
      <c r="K33" s="3" t="s">
        <v>183</v>
      </c>
      <c r="L33" s="3" t="s">
        <v>815</v>
      </c>
      <c r="M33" s="3"/>
      <c r="N33" s="3"/>
    </row>
    <row r="34" spans="1:14" ht="28.5">
      <c r="A34" s="3" t="s">
        <v>347</v>
      </c>
      <c r="B34" s="3" t="s">
        <v>96</v>
      </c>
      <c r="C34" s="3" t="s">
        <v>99</v>
      </c>
      <c r="D34" s="3" t="s">
        <v>348</v>
      </c>
      <c r="E34" s="3" t="s">
        <v>349</v>
      </c>
      <c r="F34" s="3" t="s">
        <v>350</v>
      </c>
      <c r="G34" s="3" t="s">
        <v>351</v>
      </c>
      <c r="H34" s="3" t="s">
        <v>352</v>
      </c>
      <c r="I34" s="3" t="s">
        <v>66</v>
      </c>
      <c r="J34" s="3" t="s">
        <v>67</v>
      </c>
      <c r="K34" s="3" t="s">
        <v>183</v>
      </c>
      <c r="L34" s="3" t="s">
        <v>815</v>
      </c>
      <c r="M34" s="3"/>
      <c r="N34" s="3"/>
    </row>
    <row r="35" spans="1:14" ht="28.5">
      <c r="A35" s="3" t="s">
        <v>353</v>
      </c>
      <c r="B35" s="3" t="s">
        <v>96</v>
      </c>
      <c r="C35" s="3" t="s">
        <v>99</v>
      </c>
      <c r="D35" s="3" t="s">
        <v>354</v>
      </c>
      <c r="E35" s="3" t="s">
        <v>343</v>
      </c>
      <c r="F35" s="3" t="s">
        <v>355</v>
      </c>
      <c r="G35" s="3" t="s">
        <v>180</v>
      </c>
      <c r="H35" s="3" t="s">
        <v>356</v>
      </c>
      <c r="I35" s="3" t="s">
        <v>66</v>
      </c>
      <c r="J35" s="3" t="s">
        <v>67</v>
      </c>
      <c r="K35" s="3" t="s">
        <v>183</v>
      </c>
      <c r="L35" s="3" t="s">
        <v>815</v>
      </c>
      <c r="M35" s="3"/>
      <c r="N35" s="3"/>
    </row>
    <row r="36" spans="1:14" ht="28.5">
      <c r="A36" s="3" t="s">
        <v>357</v>
      </c>
      <c r="B36" s="3" t="s">
        <v>96</v>
      </c>
      <c r="C36" s="3" t="s">
        <v>99</v>
      </c>
      <c r="D36" s="3" t="s">
        <v>358</v>
      </c>
      <c r="E36" s="3" t="s">
        <v>359</v>
      </c>
      <c r="F36" s="3" t="s">
        <v>358</v>
      </c>
      <c r="G36" s="3" t="s">
        <v>180</v>
      </c>
      <c r="H36" s="3" t="s">
        <v>360</v>
      </c>
      <c r="I36" s="3" t="s">
        <v>60</v>
      </c>
      <c r="J36" s="3" t="s">
        <v>323</v>
      </c>
      <c r="K36" s="3" t="s">
        <v>183</v>
      </c>
      <c r="L36" s="3" t="s">
        <v>815</v>
      </c>
      <c r="M36" s="3"/>
      <c r="N36" s="3"/>
    </row>
    <row r="37" spans="1:14" ht="28.5">
      <c r="A37" s="3" t="s">
        <v>361</v>
      </c>
      <c r="B37" s="3" t="s">
        <v>96</v>
      </c>
      <c r="C37" s="3" t="s">
        <v>102</v>
      </c>
      <c r="D37" s="3" t="s">
        <v>362</v>
      </c>
      <c r="E37" s="3" t="s">
        <v>363</v>
      </c>
      <c r="F37" s="3" t="s">
        <v>364</v>
      </c>
      <c r="G37" s="3" t="s">
        <v>365</v>
      </c>
      <c r="H37" s="3" t="s">
        <v>366</v>
      </c>
      <c r="I37" s="3" t="s">
        <v>66</v>
      </c>
      <c r="J37" s="3" t="s">
        <v>367</v>
      </c>
      <c r="K37" s="3" t="s">
        <v>183</v>
      </c>
      <c r="L37" s="3" t="s">
        <v>815</v>
      </c>
      <c r="M37" s="3"/>
      <c r="N37" s="3"/>
    </row>
    <row r="38" spans="1:14" ht="28.5">
      <c r="A38" s="3" t="s">
        <v>368</v>
      </c>
      <c r="B38" s="3" t="s">
        <v>96</v>
      </c>
      <c r="C38" s="3" t="s">
        <v>102</v>
      </c>
      <c r="D38" s="3" t="s">
        <v>369</v>
      </c>
      <c r="E38" s="3" t="s">
        <v>370</v>
      </c>
      <c r="F38" s="3" t="s">
        <v>371</v>
      </c>
      <c r="G38" s="3" t="s">
        <v>180</v>
      </c>
      <c r="H38" s="3" t="s">
        <v>372</v>
      </c>
      <c r="I38" s="3" t="s">
        <v>66</v>
      </c>
      <c r="J38" s="3" t="s">
        <v>367</v>
      </c>
      <c r="K38" s="3" t="s">
        <v>183</v>
      </c>
      <c r="L38" s="3" t="s">
        <v>815</v>
      </c>
      <c r="M38" s="3"/>
      <c r="N38" s="3"/>
    </row>
    <row r="39" spans="1:14" ht="28.5">
      <c r="A39" s="3" t="s">
        <v>373</v>
      </c>
      <c r="B39" s="3" t="s">
        <v>96</v>
      </c>
      <c r="C39" s="3" t="s">
        <v>102</v>
      </c>
      <c r="D39" s="3" t="s">
        <v>374</v>
      </c>
      <c r="E39" s="3" t="s">
        <v>375</v>
      </c>
      <c r="F39" s="3" t="s">
        <v>376</v>
      </c>
      <c r="G39" s="3" t="s">
        <v>180</v>
      </c>
      <c r="H39" s="3" t="s">
        <v>377</v>
      </c>
      <c r="I39" s="3" t="s">
        <v>60</v>
      </c>
      <c r="J39" s="3" t="s">
        <v>152</v>
      </c>
      <c r="K39" s="3" t="s">
        <v>183</v>
      </c>
      <c r="L39" s="3" t="s">
        <v>815</v>
      </c>
      <c r="M39" s="3"/>
      <c r="N39" s="3"/>
    </row>
    <row r="40" spans="1:14" ht="28.5">
      <c r="A40" s="3" t="s">
        <v>378</v>
      </c>
      <c r="B40" s="3" t="s">
        <v>96</v>
      </c>
      <c r="C40" s="3" t="s">
        <v>95</v>
      </c>
      <c r="D40" s="3" t="s">
        <v>379</v>
      </c>
      <c r="E40" s="3" t="s">
        <v>380</v>
      </c>
      <c r="F40" s="3" t="s">
        <v>381</v>
      </c>
      <c r="G40" s="3" t="s">
        <v>382</v>
      </c>
      <c r="H40" s="3" t="s">
        <v>383</v>
      </c>
      <c r="I40" s="3" t="s">
        <v>60</v>
      </c>
      <c r="J40" s="3" t="s">
        <v>384</v>
      </c>
      <c r="K40" s="3" t="s">
        <v>183</v>
      </c>
      <c r="L40" s="3" t="s">
        <v>815</v>
      </c>
      <c r="M40" s="3"/>
      <c r="N40" s="3"/>
    </row>
    <row r="41" spans="1:14" ht="28.5">
      <c r="A41" s="3" t="s">
        <v>385</v>
      </c>
      <c r="B41" s="3" t="s">
        <v>107</v>
      </c>
      <c r="C41" s="3" t="s">
        <v>106</v>
      </c>
      <c r="D41" s="3" t="s">
        <v>386</v>
      </c>
      <c r="E41" s="3" t="s">
        <v>387</v>
      </c>
      <c r="F41" s="3" t="s">
        <v>388</v>
      </c>
      <c r="G41" s="3" t="s">
        <v>389</v>
      </c>
      <c r="H41" s="3" t="s">
        <v>390</v>
      </c>
      <c r="I41" s="3" t="s">
        <v>66</v>
      </c>
      <c r="J41" s="3" t="s">
        <v>391</v>
      </c>
      <c r="K41" s="3" t="s">
        <v>183</v>
      </c>
      <c r="L41" s="3" t="s">
        <v>815</v>
      </c>
      <c r="M41" s="3"/>
      <c r="N41" s="3"/>
    </row>
    <row r="42" spans="1:14" ht="28.5">
      <c r="A42" s="3" t="s">
        <v>392</v>
      </c>
      <c r="B42" s="3" t="s">
        <v>107</v>
      </c>
      <c r="C42" s="3" t="s">
        <v>106</v>
      </c>
      <c r="D42" s="3" t="s">
        <v>393</v>
      </c>
      <c r="E42" s="3" t="s">
        <v>394</v>
      </c>
      <c r="F42" s="3" t="s">
        <v>395</v>
      </c>
      <c r="G42" s="3" t="s">
        <v>396</v>
      </c>
      <c r="H42" s="3" t="s">
        <v>397</v>
      </c>
      <c r="I42" s="3" t="s">
        <v>66</v>
      </c>
      <c r="J42" s="3" t="s">
        <v>226</v>
      </c>
      <c r="K42" s="3" t="s">
        <v>183</v>
      </c>
      <c r="L42" s="3" t="s">
        <v>815</v>
      </c>
      <c r="M42" s="3"/>
      <c r="N42" s="3"/>
    </row>
    <row r="43" spans="1:14" ht="28.5">
      <c r="A43" s="3" t="s">
        <v>398</v>
      </c>
      <c r="B43" s="3" t="s">
        <v>107</v>
      </c>
      <c r="C43" s="3" t="s">
        <v>106</v>
      </c>
      <c r="D43" s="3" t="s">
        <v>399</v>
      </c>
      <c r="E43" s="3" t="s">
        <v>400</v>
      </c>
      <c r="F43" s="3" t="s">
        <v>401</v>
      </c>
      <c r="G43" s="3" t="s">
        <v>402</v>
      </c>
      <c r="H43" s="3" t="s">
        <v>403</v>
      </c>
      <c r="I43" s="3" t="s">
        <v>60</v>
      </c>
      <c r="J43" s="3" t="s">
        <v>72</v>
      </c>
      <c r="K43" s="3" t="s">
        <v>183</v>
      </c>
      <c r="L43" s="3" t="s">
        <v>815</v>
      </c>
      <c r="M43" s="3"/>
      <c r="N43" s="3"/>
    </row>
    <row r="44" spans="1:14" ht="28.5">
      <c r="A44" s="3" t="s">
        <v>404</v>
      </c>
      <c r="B44" s="3" t="s">
        <v>107</v>
      </c>
      <c r="C44" s="3" t="s">
        <v>106</v>
      </c>
      <c r="D44" s="3" t="s">
        <v>405</v>
      </c>
      <c r="E44" s="3" t="s">
        <v>400</v>
      </c>
      <c r="F44" s="3" t="s">
        <v>406</v>
      </c>
      <c r="G44" s="3" t="s">
        <v>224</v>
      </c>
      <c r="H44" s="3" t="s">
        <v>407</v>
      </c>
      <c r="I44" s="3" t="s">
        <v>60</v>
      </c>
      <c r="J44" s="3" t="s">
        <v>226</v>
      </c>
      <c r="K44" s="3" t="s">
        <v>183</v>
      </c>
      <c r="L44" s="3" t="s">
        <v>815</v>
      </c>
      <c r="M44" s="3"/>
      <c r="N44" s="3"/>
    </row>
    <row r="45" spans="1:14" ht="28.5">
      <c r="A45" s="3" t="s">
        <v>408</v>
      </c>
      <c r="B45" s="3" t="s">
        <v>107</v>
      </c>
      <c r="C45" s="3" t="s">
        <v>106</v>
      </c>
      <c r="D45" s="3" t="s">
        <v>409</v>
      </c>
      <c r="E45" s="3" t="s">
        <v>400</v>
      </c>
      <c r="F45" s="3" t="s">
        <v>410</v>
      </c>
      <c r="G45" s="3" t="s">
        <v>411</v>
      </c>
      <c r="H45" s="3" t="s">
        <v>412</v>
      </c>
      <c r="I45" s="3" t="s">
        <v>60</v>
      </c>
      <c r="J45" s="3" t="s">
        <v>413</v>
      </c>
      <c r="K45" s="3" t="s">
        <v>183</v>
      </c>
      <c r="L45" s="3" t="s">
        <v>815</v>
      </c>
      <c r="M45" s="3"/>
      <c r="N45" s="3"/>
    </row>
    <row r="46" spans="1:14" ht="28.5">
      <c r="A46" s="3" t="s">
        <v>414</v>
      </c>
      <c r="B46" s="3" t="s">
        <v>107</v>
      </c>
      <c r="C46" s="3" t="s">
        <v>151</v>
      </c>
      <c r="D46" s="3" t="s">
        <v>415</v>
      </c>
      <c r="E46" s="3" t="s">
        <v>416</v>
      </c>
      <c r="F46" s="3" t="s">
        <v>417</v>
      </c>
      <c r="G46" s="3" t="s">
        <v>389</v>
      </c>
      <c r="H46" s="3" t="s">
        <v>418</v>
      </c>
      <c r="I46" s="3" t="s">
        <v>81</v>
      </c>
      <c r="J46" s="3" t="s">
        <v>152</v>
      </c>
      <c r="K46" s="3" t="s">
        <v>183</v>
      </c>
      <c r="L46" s="3" t="s">
        <v>815</v>
      </c>
      <c r="M46" s="3"/>
      <c r="N46" s="3"/>
    </row>
    <row r="47" spans="1:14" ht="28.5">
      <c r="A47" s="3" t="s">
        <v>419</v>
      </c>
      <c r="B47" s="3" t="s">
        <v>107</v>
      </c>
      <c r="C47" s="3" t="s">
        <v>151</v>
      </c>
      <c r="D47" s="3" t="s">
        <v>420</v>
      </c>
      <c r="E47" s="3" t="s">
        <v>421</v>
      </c>
      <c r="F47" s="3" t="s">
        <v>422</v>
      </c>
      <c r="G47" s="3" t="s">
        <v>180</v>
      </c>
      <c r="H47" s="3" t="s">
        <v>423</v>
      </c>
      <c r="I47" s="3" t="s">
        <v>66</v>
      </c>
      <c r="J47" s="3" t="s">
        <v>424</v>
      </c>
      <c r="K47" s="3" t="s">
        <v>183</v>
      </c>
      <c r="L47" s="3" t="s">
        <v>815</v>
      </c>
      <c r="M47" s="3"/>
      <c r="N47" s="3"/>
    </row>
    <row r="48" spans="1:14" ht="28.5">
      <c r="A48" s="3" t="s">
        <v>425</v>
      </c>
      <c r="B48" s="3" t="s">
        <v>157</v>
      </c>
      <c r="C48" s="3" t="s">
        <v>156</v>
      </c>
      <c r="D48" s="3" t="s">
        <v>426</v>
      </c>
      <c r="E48" s="3" t="s">
        <v>400</v>
      </c>
      <c r="F48" s="3" t="s">
        <v>427</v>
      </c>
      <c r="G48" s="3" t="s">
        <v>180</v>
      </c>
      <c r="H48" s="3" t="s">
        <v>428</v>
      </c>
      <c r="I48" s="3" t="s">
        <v>81</v>
      </c>
      <c r="J48" s="3" t="s">
        <v>159</v>
      </c>
      <c r="K48" s="3" t="s">
        <v>183</v>
      </c>
      <c r="L48" s="3" t="s">
        <v>815</v>
      </c>
      <c r="M48" s="3"/>
      <c r="N48" s="3"/>
    </row>
    <row r="49" spans="1:14" ht="28.5">
      <c r="A49" s="3" t="s">
        <v>429</v>
      </c>
      <c r="B49" s="3" t="s">
        <v>157</v>
      </c>
      <c r="C49" s="3" t="s">
        <v>156</v>
      </c>
      <c r="D49" s="3" t="s">
        <v>430</v>
      </c>
      <c r="E49" s="3" t="s">
        <v>400</v>
      </c>
      <c r="F49" s="3" t="s">
        <v>431</v>
      </c>
      <c r="G49" s="3" t="s">
        <v>180</v>
      </c>
      <c r="H49" s="3" t="s">
        <v>432</v>
      </c>
      <c r="I49" s="3" t="s">
        <v>81</v>
      </c>
      <c r="J49" s="3" t="s">
        <v>159</v>
      </c>
      <c r="K49" s="3" t="s">
        <v>183</v>
      </c>
      <c r="L49" s="3" t="s">
        <v>815</v>
      </c>
      <c r="M49" s="3"/>
      <c r="N49" s="3"/>
    </row>
    <row r="50" spans="1:14" ht="28.5">
      <c r="A50" s="3" t="s">
        <v>433</v>
      </c>
      <c r="B50" s="3" t="s">
        <v>112</v>
      </c>
      <c r="C50" s="3" t="s">
        <v>111</v>
      </c>
      <c r="D50" s="3" t="s">
        <v>434</v>
      </c>
      <c r="E50" s="3" t="s">
        <v>435</v>
      </c>
      <c r="F50" s="3" t="s">
        <v>436</v>
      </c>
      <c r="G50" s="3" t="s">
        <v>224</v>
      </c>
      <c r="H50" s="3" t="s">
        <v>437</v>
      </c>
      <c r="I50" s="3" t="s">
        <v>60</v>
      </c>
      <c r="J50" s="3" t="s">
        <v>226</v>
      </c>
      <c r="K50" s="3" t="s">
        <v>183</v>
      </c>
      <c r="L50" s="3" t="s">
        <v>815</v>
      </c>
      <c r="M50" s="3"/>
      <c r="N50" s="3"/>
    </row>
    <row r="51" spans="1:14" ht="28.5">
      <c r="A51" s="3" t="s">
        <v>438</v>
      </c>
      <c r="B51" s="3" t="s">
        <v>112</v>
      </c>
      <c r="C51" s="3" t="s">
        <v>111</v>
      </c>
      <c r="D51" s="3" t="s">
        <v>439</v>
      </c>
      <c r="E51" s="3" t="s">
        <v>440</v>
      </c>
      <c r="F51" s="3" t="s">
        <v>441</v>
      </c>
      <c r="G51" s="3" t="s">
        <v>442</v>
      </c>
      <c r="H51" s="3" t="s">
        <v>443</v>
      </c>
      <c r="I51" s="3" t="s">
        <v>60</v>
      </c>
      <c r="J51" s="3" t="s">
        <v>391</v>
      </c>
      <c r="K51" s="3" t="s">
        <v>183</v>
      </c>
      <c r="L51" s="3" t="s">
        <v>815</v>
      </c>
      <c r="M51" s="3"/>
      <c r="N51" s="3"/>
    </row>
    <row r="52" spans="1:14" ht="28.5">
      <c r="A52" s="3" t="s">
        <v>444</v>
      </c>
      <c r="B52" s="3" t="s">
        <v>112</v>
      </c>
      <c r="C52" s="3" t="s">
        <v>111</v>
      </c>
      <c r="D52" s="3" t="s">
        <v>445</v>
      </c>
      <c r="E52" s="3" t="s">
        <v>435</v>
      </c>
      <c r="F52" s="3" t="s">
        <v>446</v>
      </c>
      <c r="G52" s="3" t="s">
        <v>447</v>
      </c>
      <c r="H52" s="3" t="s">
        <v>448</v>
      </c>
      <c r="I52" s="3" t="s">
        <v>81</v>
      </c>
      <c r="J52" s="3" t="s">
        <v>72</v>
      </c>
      <c r="K52" s="3" t="s">
        <v>183</v>
      </c>
      <c r="L52" s="3" t="s">
        <v>815</v>
      </c>
      <c r="M52" s="3"/>
      <c r="N52" s="3"/>
    </row>
    <row r="53" spans="1:14" ht="28.5">
      <c r="A53" s="3" t="s">
        <v>449</v>
      </c>
      <c r="B53" s="3" t="s">
        <v>112</v>
      </c>
      <c r="C53" s="3" t="s">
        <v>111</v>
      </c>
      <c r="D53" s="3" t="s">
        <v>450</v>
      </c>
      <c r="E53" s="3" t="s">
        <v>435</v>
      </c>
      <c r="F53" s="3" t="s">
        <v>451</v>
      </c>
      <c r="G53" s="3" t="s">
        <v>452</v>
      </c>
      <c r="H53" s="3" t="s">
        <v>453</v>
      </c>
      <c r="I53" s="3" t="s">
        <v>60</v>
      </c>
      <c r="J53" s="3" t="s">
        <v>454</v>
      </c>
      <c r="K53" s="3" t="s">
        <v>183</v>
      </c>
      <c r="L53" s="3" t="s">
        <v>815</v>
      </c>
      <c r="M53" s="3"/>
      <c r="N53" s="3"/>
    </row>
    <row r="54" spans="1:14" ht="28.5">
      <c r="A54" s="3" t="s">
        <v>455</v>
      </c>
      <c r="B54" s="3" t="s">
        <v>112</v>
      </c>
      <c r="C54" s="3" t="s">
        <v>111</v>
      </c>
      <c r="D54" s="3" t="s">
        <v>456</v>
      </c>
      <c r="E54" s="3" t="s">
        <v>435</v>
      </c>
      <c r="F54" s="3" t="s">
        <v>457</v>
      </c>
      <c r="G54" s="3" t="s">
        <v>458</v>
      </c>
      <c r="H54" s="3" t="s">
        <v>459</v>
      </c>
      <c r="I54" s="3" t="s">
        <v>60</v>
      </c>
      <c r="J54" s="3" t="s">
        <v>242</v>
      </c>
      <c r="K54" s="3" t="s">
        <v>183</v>
      </c>
      <c r="L54" s="3" t="s">
        <v>815</v>
      </c>
      <c r="M54" s="3"/>
      <c r="N54" s="3"/>
    </row>
    <row r="55" spans="1:14" ht="28.5">
      <c r="A55" s="3" t="s">
        <v>460</v>
      </c>
      <c r="B55" s="3" t="s">
        <v>112</v>
      </c>
      <c r="C55" s="3" t="s">
        <v>111</v>
      </c>
      <c r="D55" s="3" t="s">
        <v>461</v>
      </c>
      <c r="E55" s="3" t="s">
        <v>435</v>
      </c>
      <c r="F55" s="3" t="s">
        <v>462</v>
      </c>
      <c r="G55" s="3" t="s">
        <v>463</v>
      </c>
      <c r="H55" s="3" t="s">
        <v>464</v>
      </c>
      <c r="I55" s="3" t="s">
        <v>60</v>
      </c>
      <c r="J55" s="3" t="s">
        <v>72</v>
      </c>
      <c r="K55" s="3" t="s">
        <v>183</v>
      </c>
      <c r="L55" s="3" t="s">
        <v>815</v>
      </c>
      <c r="M55" s="3"/>
      <c r="N55" s="3"/>
    </row>
    <row r="56" spans="1:14" ht="28.5">
      <c r="A56" s="3" t="s">
        <v>465</v>
      </c>
      <c r="B56" s="3" t="s">
        <v>112</v>
      </c>
      <c r="C56" s="3" t="s">
        <v>111</v>
      </c>
      <c r="D56" s="3" t="s">
        <v>466</v>
      </c>
      <c r="E56" s="3" t="s">
        <v>435</v>
      </c>
      <c r="F56" s="3" t="s">
        <v>467</v>
      </c>
      <c r="G56" s="3" t="s">
        <v>468</v>
      </c>
      <c r="H56" s="3" t="s">
        <v>469</v>
      </c>
      <c r="I56" s="3" t="s">
        <v>60</v>
      </c>
      <c r="J56" s="3" t="s">
        <v>226</v>
      </c>
      <c r="K56" s="3" t="s">
        <v>183</v>
      </c>
      <c r="L56" s="3" t="s">
        <v>815</v>
      </c>
      <c r="M56" s="3"/>
      <c r="N56" s="3"/>
    </row>
    <row r="57" spans="1:14" ht="28.5">
      <c r="A57" s="3" t="s">
        <v>470</v>
      </c>
      <c r="B57" s="3" t="s">
        <v>112</v>
      </c>
      <c r="C57" s="3" t="s">
        <v>111</v>
      </c>
      <c r="D57" s="3" t="s">
        <v>471</v>
      </c>
      <c r="E57" s="3" t="s">
        <v>435</v>
      </c>
      <c r="F57" s="3" t="s">
        <v>472</v>
      </c>
      <c r="G57" s="3" t="s">
        <v>473</v>
      </c>
      <c r="H57" s="3" t="s">
        <v>474</v>
      </c>
      <c r="I57" s="3" t="s">
        <v>60</v>
      </c>
      <c r="J57" s="3" t="s">
        <v>475</v>
      </c>
      <c r="K57" s="3" t="s">
        <v>183</v>
      </c>
      <c r="L57" s="3" t="s">
        <v>815</v>
      </c>
      <c r="M57" s="3"/>
      <c r="N57" s="3"/>
    </row>
    <row r="58" spans="1:14" ht="28.5">
      <c r="A58" s="3" t="s">
        <v>476</v>
      </c>
      <c r="B58" s="3" t="s">
        <v>112</v>
      </c>
      <c r="C58" s="3" t="s">
        <v>111</v>
      </c>
      <c r="D58" s="3" t="s">
        <v>477</v>
      </c>
      <c r="E58" s="3" t="s">
        <v>435</v>
      </c>
      <c r="F58" s="3" t="s">
        <v>478</v>
      </c>
      <c r="G58" s="3" t="s">
        <v>180</v>
      </c>
      <c r="H58" s="3" t="s">
        <v>479</v>
      </c>
      <c r="I58" s="3" t="s">
        <v>81</v>
      </c>
      <c r="J58" s="3" t="s">
        <v>195</v>
      </c>
      <c r="K58" s="3" t="s">
        <v>183</v>
      </c>
      <c r="L58" s="3" t="s">
        <v>815</v>
      </c>
      <c r="M58" s="3"/>
      <c r="N58" s="3"/>
    </row>
    <row r="59" spans="1:14" ht="28.5">
      <c r="A59" s="3" t="s">
        <v>480</v>
      </c>
      <c r="B59" s="3" t="s">
        <v>117</v>
      </c>
      <c r="C59" s="3" t="s">
        <v>116</v>
      </c>
      <c r="D59" s="3" t="s">
        <v>481</v>
      </c>
      <c r="E59" s="3" t="s">
        <v>400</v>
      </c>
      <c r="F59" s="3" t="s">
        <v>482</v>
      </c>
      <c r="G59" s="3" t="s">
        <v>180</v>
      </c>
      <c r="H59" s="3" t="s">
        <v>483</v>
      </c>
      <c r="I59" s="3" t="s">
        <v>60</v>
      </c>
      <c r="J59" s="3" t="s">
        <v>195</v>
      </c>
      <c r="K59" s="3" t="s">
        <v>183</v>
      </c>
      <c r="L59" s="3" t="s">
        <v>815</v>
      </c>
      <c r="M59" s="3"/>
      <c r="N59" s="3"/>
    </row>
    <row r="60" spans="1:14" ht="28.5">
      <c r="A60" s="3" t="s">
        <v>484</v>
      </c>
      <c r="B60" s="3" t="s">
        <v>117</v>
      </c>
      <c r="C60" s="3" t="s">
        <v>116</v>
      </c>
      <c r="D60" s="3" t="s">
        <v>485</v>
      </c>
      <c r="E60" s="3" t="s">
        <v>486</v>
      </c>
      <c r="F60" s="3" t="s">
        <v>487</v>
      </c>
      <c r="G60" s="3" t="s">
        <v>488</v>
      </c>
      <c r="H60" s="3" t="s">
        <v>489</v>
      </c>
      <c r="I60" s="3" t="s">
        <v>60</v>
      </c>
      <c r="J60" s="3" t="s">
        <v>67</v>
      </c>
      <c r="K60" s="3" t="s">
        <v>183</v>
      </c>
      <c r="L60" s="3" t="s">
        <v>815</v>
      </c>
      <c r="M60" s="3"/>
      <c r="N60" s="3"/>
    </row>
    <row r="61" spans="1:14" ht="28.5">
      <c r="A61" s="3" t="s">
        <v>490</v>
      </c>
      <c r="B61" s="3" t="s">
        <v>117</v>
      </c>
      <c r="C61" s="3" t="s">
        <v>116</v>
      </c>
      <c r="D61" s="3" t="s">
        <v>491</v>
      </c>
      <c r="E61" s="3" t="s">
        <v>492</v>
      </c>
      <c r="F61" s="3" t="s">
        <v>493</v>
      </c>
      <c r="G61" s="3" t="s">
        <v>402</v>
      </c>
      <c r="H61" s="3" t="s">
        <v>494</v>
      </c>
      <c r="I61" s="3" t="s">
        <v>60</v>
      </c>
      <c r="J61" s="3" t="s">
        <v>72</v>
      </c>
      <c r="K61" s="3" t="s">
        <v>183</v>
      </c>
      <c r="L61" s="3" t="s">
        <v>815</v>
      </c>
      <c r="M61" s="3"/>
      <c r="N61" s="3"/>
    </row>
    <row r="62" spans="1:14" ht="28.5">
      <c r="A62" s="3" t="s">
        <v>495</v>
      </c>
      <c r="B62" s="3" t="s">
        <v>117</v>
      </c>
      <c r="C62" s="3" t="s">
        <v>116</v>
      </c>
      <c r="D62" s="3" t="s">
        <v>496</v>
      </c>
      <c r="E62" s="3" t="s">
        <v>492</v>
      </c>
      <c r="F62" s="3" t="s">
        <v>497</v>
      </c>
      <c r="G62" s="3" t="s">
        <v>224</v>
      </c>
      <c r="H62" s="3" t="s">
        <v>407</v>
      </c>
      <c r="I62" s="3" t="s">
        <v>81</v>
      </c>
      <c r="J62" s="3" t="s">
        <v>226</v>
      </c>
      <c r="K62" s="3" t="s">
        <v>183</v>
      </c>
      <c r="L62" s="3" t="s">
        <v>815</v>
      </c>
      <c r="M62" s="3"/>
      <c r="N62" s="3"/>
    </row>
    <row r="63" spans="1:14" ht="28.5">
      <c r="A63" s="3" t="s">
        <v>498</v>
      </c>
      <c r="B63" s="3" t="s">
        <v>117</v>
      </c>
      <c r="C63" s="3" t="s">
        <v>116</v>
      </c>
      <c r="D63" s="3" t="s">
        <v>499</v>
      </c>
      <c r="E63" s="3" t="s">
        <v>492</v>
      </c>
      <c r="F63" s="3" t="s">
        <v>500</v>
      </c>
      <c r="G63" s="3" t="s">
        <v>501</v>
      </c>
      <c r="H63" s="3" t="s">
        <v>502</v>
      </c>
      <c r="I63" s="3" t="s">
        <v>60</v>
      </c>
      <c r="J63" s="3" t="s">
        <v>503</v>
      </c>
      <c r="K63" s="3" t="s">
        <v>183</v>
      </c>
      <c r="L63" s="3" t="s">
        <v>815</v>
      </c>
      <c r="M63" s="3"/>
      <c r="N63" s="3"/>
    </row>
    <row r="64" spans="1:14" ht="28.5">
      <c r="A64" s="3" t="s">
        <v>504</v>
      </c>
      <c r="B64" s="3" t="s">
        <v>121</v>
      </c>
      <c r="C64" s="3" t="s">
        <v>120</v>
      </c>
      <c r="D64" s="3" t="s">
        <v>505</v>
      </c>
      <c r="E64" s="3" t="s">
        <v>343</v>
      </c>
      <c r="F64" s="3" t="s">
        <v>506</v>
      </c>
      <c r="G64" s="3" t="s">
        <v>180</v>
      </c>
      <c r="H64" s="3" t="s">
        <v>507</v>
      </c>
      <c r="I64" s="3" t="s">
        <v>66</v>
      </c>
      <c r="J64" s="3" t="s">
        <v>67</v>
      </c>
      <c r="K64" s="3" t="s">
        <v>183</v>
      </c>
      <c r="L64" s="3" t="s">
        <v>815</v>
      </c>
      <c r="M64" s="3"/>
      <c r="N64" s="3"/>
    </row>
    <row r="65" spans="1:14" ht="28.5">
      <c r="A65" s="3" t="s">
        <v>508</v>
      </c>
      <c r="B65" s="3" t="s">
        <v>121</v>
      </c>
      <c r="C65" s="3" t="s">
        <v>120</v>
      </c>
      <c r="D65" s="3" t="s">
        <v>509</v>
      </c>
      <c r="E65" s="3" t="s">
        <v>510</v>
      </c>
      <c r="F65" s="3" t="s">
        <v>511</v>
      </c>
      <c r="G65" s="3" t="s">
        <v>224</v>
      </c>
      <c r="H65" s="3" t="s">
        <v>512</v>
      </c>
      <c r="I65" s="3" t="s">
        <v>66</v>
      </c>
      <c r="J65" s="3" t="s">
        <v>226</v>
      </c>
      <c r="K65" s="3" t="s">
        <v>183</v>
      </c>
      <c r="L65" s="3" t="s">
        <v>815</v>
      </c>
      <c r="M65" s="3"/>
      <c r="N65" s="3"/>
    </row>
    <row r="66" spans="1:14" ht="28.5">
      <c r="A66" s="3" t="s">
        <v>513</v>
      </c>
      <c r="B66" s="3" t="s">
        <v>121</v>
      </c>
      <c r="C66" s="3" t="s">
        <v>120</v>
      </c>
      <c r="D66" s="3" t="s">
        <v>514</v>
      </c>
      <c r="E66" s="3" t="s">
        <v>510</v>
      </c>
      <c r="F66" s="3" t="s">
        <v>515</v>
      </c>
      <c r="G66" s="3" t="s">
        <v>516</v>
      </c>
      <c r="H66" s="3" t="s">
        <v>517</v>
      </c>
      <c r="I66" s="3" t="s">
        <v>60</v>
      </c>
      <c r="J66" s="3" t="s">
        <v>391</v>
      </c>
      <c r="K66" s="3" t="s">
        <v>183</v>
      </c>
      <c r="L66" s="3" t="s">
        <v>815</v>
      </c>
      <c r="M66" s="3"/>
      <c r="N66" s="3"/>
    </row>
    <row r="67" spans="1:14" ht="28.5">
      <c r="A67" s="3" t="s">
        <v>518</v>
      </c>
      <c r="B67" s="3" t="s">
        <v>121</v>
      </c>
      <c r="C67" s="3" t="s">
        <v>120</v>
      </c>
      <c r="D67" s="3" t="s">
        <v>519</v>
      </c>
      <c r="E67" s="3" t="s">
        <v>510</v>
      </c>
      <c r="F67" s="3" t="s">
        <v>520</v>
      </c>
      <c r="G67" s="3" t="s">
        <v>521</v>
      </c>
      <c r="H67" s="3" t="s">
        <v>522</v>
      </c>
      <c r="I67" s="3" t="s">
        <v>60</v>
      </c>
      <c r="J67" s="3" t="s">
        <v>242</v>
      </c>
      <c r="K67" s="3" t="s">
        <v>183</v>
      </c>
      <c r="L67" s="3" t="s">
        <v>815</v>
      </c>
      <c r="M67" s="3"/>
      <c r="N67" s="3"/>
    </row>
    <row r="68" spans="1:14" ht="28.5">
      <c r="A68" s="3" t="s">
        <v>523</v>
      </c>
      <c r="B68" s="3" t="s">
        <v>121</v>
      </c>
      <c r="C68" s="3" t="s">
        <v>120</v>
      </c>
      <c r="D68" s="3" t="s">
        <v>524</v>
      </c>
      <c r="E68" s="3" t="s">
        <v>510</v>
      </c>
      <c r="F68" s="3" t="s">
        <v>525</v>
      </c>
      <c r="G68" s="3" t="s">
        <v>526</v>
      </c>
      <c r="H68" s="3" t="s">
        <v>527</v>
      </c>
      <c r="I68" s="3" t="s">
        <v>81</v>
      </c>
      <c r="J68" s="3" t="s">
        <v>528</v>
      </c>
      <c r="K68" s="3" t="s">
        <v>183</v>
      </c>
      <c r="L68" s="3" t="s">
        <v>815</v>
      </c>
      <c r="M68" s="3"/>
      <c r="N68" s="3"/>
    </row>
    <row r="69" spans="1:14" ht="28.5">
      <c r="A69" s="3" t="s">
        <v>529</v>
      </c>
      <c r="B69" s="3" t="s">
        <v>121</v>
      </c>
      <c r="C69" s="3" t="s">
        <v>120</v>
      </c>
      <c r="D69" s="3" t="s">
        <v>530</v>
      </c>
      <c r="E69" s="3" t="s">
        <v>531</v>
      </c>
      <c r="F69" s="3" t="s">
        <v>532</v>
      </c>
      <c r="G69" s="3" t="s">
        <v>533</v>
      </c>
      <c r="H69" s="3" t="s">
        <v>534</v>
      </c>
      <c r="I69" s="3" t="s">
        <v>60</v>
      </c>
      <c r="J69" s="3" t="s">
        <v>384</v>
      </c>
      <c r="K69" s="3" t="s">
        <v>183</v>
      </c>
      <c r="L69" s="3" t="s">
        <v>815</v>
      </c>
      <c r="M69" s="3"/>
      <c r="N69" s="3"/>
    </row>
    <row r="70" spans="1:14" ht="28.5">
      <c r="A70" s="3" t="s">
        <v>535</v>
      </c>
      <c r="B70" s="3" t="s">
        <v>121</v>
      </c>
      <c r="C70" s="3" t="s">
        <v>124</v>
      </c>
      <c r="D70" s="3" t="s">
        <v>536</v>
      </c>
      <c r="E70" s="3" t="s">
        <v>537</v>
      </c>
      <c r="F70" s="3" t="s">
        <v>538</v>
      </c>
      <c r="G70" s="3" t="s">
        <v>180</v>
      </c>
      <c r="H70" s="3" t="s">
        <v>539</v>
      </c>
      <c r="I70" s="3" t="s">
        <v>66</v>
      </c>
      <c r="J70" s="3" t="s">
        <v>367</v>
      </c>
      <c r="K70" s="3" t="s">
        <v>183</v>
      </c>
      <c r="L70" s="3" t="s">
        <v>815</v>
      </c>
      <c r="M70" s="3"/>
      <c r="N70" s="3"/>
    </row>
    <row r="71" spans="1:14" ht="28.5">
      <c r="A71" s="3" t="s">
        <v>540</v>
      </c>
      <c r="B71" s="3" t="s">
        <v>121</v>
      </c>
      <c r="C71" s="3" t="s">
        <v>124</v>
      </c>
      <c r="D71" s="3" t="s">
        <v>541</v>
      </c>
      <c r="E71" s="3" t="s">
        <v>537</v>
      </c>
      <c r="F71" s="3" t="s">
        <v>542</v>
      </c>
      <c r="G71" s="3" t="s">
        <v>180</v>
      </c>
      <c r="H71" s="3" t="s">
        <v>543</v>
      </c>
      <c r="I71" s="3" t="s">
        <v>66</v>
      </c>
      <c r="J71" s="3" t="s">
        <v>367</v>
      </c>
      <c r="K71" s="3" t="s">
        <v>183</v>
      </c>
      <c r="L71" s="3" t="s">
        <v>815</v>
      </c>
      <c r="M71" s="3"/>
      <c r="N71" s="3"/>
    </row>
    <row r="72" spans="1:14" ht="57">
      <c r="A72" s="3" t="s">
        <v>544</v>
      </c>
      <c r="B72" s="3" t="s">
        <v>121</v>
      </c>
      <c r="C72" s="3" t="s">
        <v>124</v>
      </c>
      <c r="D72" s="3" t="s">
        <v>545</v>
      </c>
      <c r="E72" s="3" t="s">
        <v>546</v>
      </c>
      <c r="F72" s="3" t="s">
        <v>547</v>
      </c>
      <c r="G72" s="3" t="s">
        <v>180</v>
      </c>
      <c r="H72" s="3" t="s">
        <v>548</v>
      </c>
      <c r="I72" s="3" t="s">
        <v>66</v>
      </c>
      <c r="J72" s="3" t="s">
        <v>549</v>
      </c>
      <c r="K72" s="3" t="s">
        <v>180</v>
      </c>
      <c r="L72" s="3" t="s">
        <v>819</v>
      </c>
      <c r="M72" s="3"/>
      <c r="N72" s="3" t="s">
        <v>820</v>
      </c>
    </row>
    <row r="73" spans="1:14" ht="28.5">
      <c r="A73" s="3" t="s">
        <v>550</v>
      </c>
      <c r="B73" s="3" t="s">
        <v>128</v>
      </c>
      <c r="C73" s="3" t="s">
        <v>127</v>
      </c>
      <c r="D73" s="3" t="s">
        <v>551</v>
      </c>
      <c r="E73" s="3" t="s">
        <v>552</v>
      </c>
      <c r="F73" s="3" t="s">
        <v>553</v>
      </c>
      <c r="G73" s="3" t="s">
        <v>554</v>
      </c>
      <c r="H73" s="3" t="s">
        <v>555</v>
      </c>
      <c r="I73" s="3" t="s">
        <v>60</v>
      </c>
      <c r="J73" s="3" t="s">
        <v>205</v>
      </c>
      <c r="K73" s="3" t="s">
        <v>183</v>
      </c>
      <c r="L73" s="3" t="s">
        <v>815</v>
      </c>
      <c r="M73" s="3"/>
      <c r="N73" s="3"/>
    </row>
    <row r="74" spans="1:14" ht="28.5">
      <c r="A74" s="3" t="s">
        <v>556</v>
      </c>
      <c r="B74" s="3" t="s">
        <v>128</v>
      </c>
      <c r="C74" s="3" t="s">
        <v>127</v>
      </c>
      <c r="D74" s="3" t="s">
        <v>557</v>
      </c>
      <c r="E74" s="3" t="s">
        <v>552</v>
      </c>
      <c r="F74" s="3" t="s">
        <v>558</v>
      </c>
      <c r="G74" s="3" t="s">
        <v>559</v>
      </c>
      <c r="H74" s="3" t="s">
        <v>560</v>
      </c>
      <c r="I74" s="3" t="s">
        <v>81</v>
      </c>
      <c r="J74" s="3" t="s">
        <v>205</v>
      </c>
      <c r="K74" s="3" t="s">
        <v>183</v>
      </c>
      <c r="L74" s="3" t="s">
        <v>815</v>
      </c>
      <c r="M74" s="3"/>
      <c r="N74" s="3"/>
    </row>
    <row r="75" spans="1:14" ht="28.5">
      <c r="A75" s="3" t="s">
        <v>561</v>
      </c>
      <c r="B75" s="3" t="s">
        <v>128</v>
      </c>
      <c r="C75" s="3" t="s">
        <v>127</v>
      </c>
      <c r="D75" s="3" t="s">
        <v>562</v>
      </c>
      <c r="E75" s="3" t="s">
        <v>563</v>
      </c>
      <c r="F75" s="3" t="s">
        <v>564</v>
      </c>
      <c r="G75" s="3" t="s">
        <v>565</v>
      </c>
      <c r="H75" s="3" t="s">
        <v>566</v>
      </c>
      <c r="I75" s="3" t="s">
        <v>66</v>
      </c>
      <c r="J75" s="3" t="s">
        <v>384</v>
      </c>
      <c r="K75" s="3" t="s">
        <v>183</v>
      </c>
      <c r="L75" s="3" t="s">
        <v>815</v>
      </c>
      <c r="M75" s="3"/>
      <c r="N75" s="3"/>
    </row>
    <row r="76" spans="1:14" ht="28.5">
      <c r="A76" s="3" t="s">
        <v>567</v>
      </c>
      <c r="B76" s="3" t="s">
        <v>128</v>
      </c>
      <c r="C76" s="3" t="s">
        <v>127</v>
      </c>
      <c r="D76" s="3" t="s">
        <v>568</v>
      </c>
      <c r="E76" s="3" t="s">
        <v>569</v>
      </c>
      <c r="F76" s="3" t="s">
        <v>570</v>
      </c>
      <c r="G76" s="3" t="s">
        <v>180</v>
      </c>
      <c r="H76" s="3" t="s">
        <v>571</v>
      </c>
      <c r="I76" s="3" t="s">
        <v>81</v>
      </c>
      <c r="J76" s="3" t="s">
        <v>572</v>
      </c>
      <c r="K76" s="3" t="s">
        <v>183</v>
      </c>
      <c r="L76" s="3" t="s">
        <v>815</v>
      </c>
      <c r="M76" s="3"/>
      <c r="N76" s="3"/>
    </row>
    <row r="77" spans="1:14" ht="28.5">
      <c r="A77" s="3" t="s">
        <v>573</v>
      </c>
      <c r="B77" s="3" t="s">
        <v>133</v>
      </c>
      <c r="C77" s="3" t="s">
        <v>132</v>
      </c>
      <c r="D77" s="3" t="s">
        <v>574</v>
      </c>
      <c r="E77" s="3" t="s">
        <v>575</v>
      </c>
      <c r="F77" s="3" t="s">
        <v>576</v>
      </c>
      <c r="G77" s="3" t="s">
        <v>180</v>
      </c>
      <c r="H77" s="3" t="s">
        <v>577</v>
      </c>
      <c r="I77" s="3" t="s">
        <v>81</v>
      </c>
      <c r="J77" s="3" t="s">
        <v>205</v>
      </c>
      <c r="K77" s="3" t="s">
        <v>183</v>
      </c>
      <c r="L77" s="3" t="s">
        <v>815</v>
      </c>
      <c r="M77" s="3"/>
      <c r="N77" s="3"/>
    </row>
    <row r="78" spans="1:14" ht="28.5">
      <c r="A78" s="3" t="s">
        <v>578</v>
      </c>
      <c r="B78" s="3" t="s">
        <v>133</v>
      </c>
      <c r="C78" s="3" t="s">
        <v>132</v>
      </c>
      <c r="D78" s="3" t="s">
        <v>579</v>
      </c>
      <c r="E78" s="3" t="s">
        <v>575</v>
      </c>
      <c r="F78" s="3" t="s">
        <v>580</v>
      </c>
      <c r="G78" s="3" t="s">
        <v>180</v>
      </c>
      <c r="H78" s="3" t="s">
        <v>581</v>
      </c>
      <c r="I78" s="3" t="s">
        <v>81</v>
      </c>
      <c r="J78" s="3" t="s">
        <v>582</v>
      </c>
      <c r="K78" s="3" t="s">
        <v>183</v>
      </c>
      <c r="L78" s="3" t="s">
        <v>815</v>
      </c>
      <c r="M78" s="3"/>
      <c r="N78" s="3"/>
    </row>
    <row r="79" spans="1:14" ht="28.5">
      <c r="A79" s="3" t="s">
        <v>583</v>
      </c>
      <c r="B79" s="3" t="s">
        <v>133</v>
      </c>
      <c r="C79" s="3" t="s">
        <v>132</v>
      </c>
      <c r="D79" s="3" t="s">
        <v>584</v>
      </c>
      <c r="E79" s="3" t="s">
        <v>575</v>
      </c>
      <c r="F79" s="3" t="s">
        <v>585</v>
      </c>
      <c r="G79" s="3" t="s">
        <v>180</v>
      </c>
      <c r="H79" s="3" t="s">
        <v>586</v>
      </c>
      <c r="I79" s="3" t="s">
        <v>81</v>
      </c>
      <c r="J79" s="3" t="s">
        <v>195</v>
      </c>
      <c r="K79" s="3" t="s">
        <v>183</v>
      </c>
      <c r="L79" s="3" t="s">
        <v>815</v>
      </c>
      <c r="M79" s="3"/>
      <c r="N79" s="3"/>
    </row>
    <row r="80" spans="1:14" ht="57.75">
      <c r="A80" s="3" t="s">
        <v>587</v>
      </c>
      <c r="B80" s="3" t="s">
        <v>133</v>
      </c>
      <c r="C80" s="3" t="s">
        <v>132</v>
      </c>
      <c r="D80" s="3" t="s">
        <v>588</v>
      </c>
      <c r="E80" s="3" t="s">
        <v>589</v>
      </c>
      <c r="F80" s="3" t="s">
        <v>590</v>
      </c>
      <c r="G80" s="3" t="s">
        <v>180</v>
      </c>
      <c r="H80" s="3" t="s">
        <v>591</v>
      </c>
      <c r="I80" s="3" t="s">
        <v>81</v>
      </c>
      <c r="J80" s="3" t="s">
        <v>205</v>
      </c>
      <c r="K80" s="3" t="s">
        <v>293</v>
      </c>
      <c r="L80" s="3" t="s">
        <v>821</v>
      </c>
      <c r="M80" s="3" t="s">
        <v>822</v>
      </c>
      <c r="N80" s="3" t="s">
        <v>823</v>
      </c>
    </row>
    <row r="81" spans="1:14" ht="28.5">
      <c r="A81" s="3" t="s">
        <v>592</v>
      </c>
      <c r="B81" s="3" t="s">
        <v>133</v>
      </c>
      <c r="C81" s="3" t="s">
        <v>132</v>
      </c>
      <c r="D81" s="3" t="s">
        <v>593</v>
      </c>
      <c r="E81" s="3" t="s">
        <v>594</v>
      </c>
      <c r="F81" s="3" t="s">
        <v>595</v>
      </c>
      <c r="G81" s="3" t="s">
        <v>180</v>
      </c>
      <c r="H81" s="3" t="s">
        <v>596</v>
      </c>
      <c r="I81" s="3" t="s">
        <v>60</v>
      </c>
      <c r="J81" s="3" t="s">
        <v>195</v>
      </c>
      <c r="K81" s="3" t="s">
        <v>183</v>
      </c>
      <c r="L81" s="3" t="s">
        <v>815</v>
      </c>
      <c r="M81" s="3"/>
      <c r="N81" s="3"/>
    </row>
    <row r="82" spans="1:14" ht="28.5">
      <c r="A82" s="3" t="s">
        <v>597</v>
      </c>
      <c r="B82" s="3" t="s">
        <v>133</v>
      </c>
      <c r="C82" s="3" t="s">
        <v>132</v>
      </c>
      <c r="D82" s="3" t="s">
        <v>598</v>
      </c>
      <c r="E82" s="3" t="s">
        <v>599</v>
      </c>
      <c r="F82" s="3" t="s">
        <v>600</v>
      </c>
      <c r="G82" s="3" t="s">
        <v>180</v>
      </c>
      <c r="H82" s="3" t="s">
        <v>601</v>
      </c>
      <c r="I82" s="3" t="s">
        <v>60</v>
      </c>
      <c r="J82" s="3" t="s">
        <v>195</v>
      </c>
      <c r="K82" s="3" t="s">
        <v>183</v>
      </c>
      <c r="L82" s="3" t="s">
        <v>815</v>
      </c>
      <c r="M82" s="3"/>
      <c r="N82" s="3"/>
    </row>
    <row r="83" spans="1:14" ht="28.5">
      <c r="A83" s="3" t="s">
        <v>602</v>
      </c>
      <c r="B83" s="3" t="s">
        <v>138</v>
      </c>
      <c r="C83" s="3" t="s">
        <v>137</v>
      </c>
      <c r="D83" s="3" t="s">
        <v>603</v>
      </c>
      <c r="E83" s="3" t="s">
        <v>604</v>
      </c>
      <c r="F83" s="3" t="s">
        <v>605</v>
      </c>
      <c r="G83" s="3" t="s">
        <v>606</v>
      </c>
      <c r="H83" s="3" t="s">
        <v>607</v>
      </c>
      <c r="I83" s="3" t="s">
        <v>60</v>
      </c>
      <c r="J83" s="3" t="s">
        <v>608</v>
      </c>
      <c r="K83" s="3" t="s">
        <v>183</v>
      </c>
      <c r="L83" s="3" t="s">
        <v>815</v>
      </c>
      <c r="M83" s="3"/>
      <c r="N83" s="3"/>
    </row>
    <row r="84" spans="1:14" ht="28.5">
      <c r="A84" s="3" t="s">
        <v>609</v>
      </c>
      <c r="B84" s="3" t="s">
        <v>138</v>
      </c>
      <c r="C84" s="3" t="s">
        <v>137</v>
      </c>
      <c r="D84" s="3" t="s">
        <v>610</v>
      </c>
      <c r="E84" s="3" t="s">
        <v>285</v>
      </c>
      <c r="F84" s="3" t="s">
        <v>611</v>
      </c>
      <c r="G84" s="3" t="s">
        <v>612</v>
      </c>
      <c r="H84" s="3" t="s">
        <v>613</v>
      </c>
      <c r="I84" s="3" t="s">
        <v>60</v>
      </c>
      <c r="J84" s="3" t="s">
        <v>608</v>
      </c>
      <c r="K84" s="3" t="s">
        <v>183</v>
      </c>
      <c r="L84" s="3" t="s">
        <v>815</v>
      </c>
      <c r="M84" s="3"/>
      <c r="N84" s="3"/>
    </row>
    <row r="85" spans="1:14" ht="28.5">
      <c r="A85" s="3" t="s">
        <v>614</v>
      </c>
      <c r="B85" s="3" t="s">
        <v>138</v>
      </c>
      <c r="C85" s="3" t="s">
        <v>137</v>
      </c>
      <c r="D85" s="3" t="s">
        <v>615</v>
      </c>
      <c r="E85" s="3" t="s">
        <v>616</v>
      </c>
      <c r="F85" s="3" t="s">
        <v>617</v>
      </c>
      <c r="G85" s="3" t="s">
        <v>612</v>
      </c>
      <c r="H85" s="3" t="s">
        <v>618</v>
      </c>
      <c r="I85" s="3" t="s">
        <v>66</v>
      </c>
      <c r="J85" s="3" t="s">
        <v>608</v>
      </c>
      <c r="K85" s="3" t="s">
        <v>183</v>
      </c>
      <c r="L85" s="3" t="s">
        <v>815</v>
      </c>
      <c r="M85" s="3"/>
      <c r="N85" s="3"/>
    </row>
    <row r="86" spans="1:14" ht="28.5">
      <c r="A86" s="3" t="s">
        <v>619</v>
      </c>
      <c r="B86" s="3" t="s">
        <v>138</v>
      </c>
      <c r="C86" s="3" t="s">
        <v>137</v>
      </c>
      <c r="D86" s="3" t="s">
        <v>620</v>
      </c>
      <c r="E86" s="3" t="s">
        <v>621</v>
      </c>
      <c r="F86" s="3" t="s">
        <v>622</v>
      </c>
      <c r="G86" s="3" t="s">
        <v>623</v>
      </c>
      <c r="H86" s="3" t="s">
        <v>624</v>
      </c>
      <c r="I86" s="3" t="s">
        <v>81</v>
      </c>
      <c r="J86" s="3" t="s">
        <v>625</v>
      </c>
      <c r="K86" s="3" t="s">
        <v>183</v>
      </c>
      <c r="L86" s="3" t="s">
        <v>815</v>
      </c>
      <c r="M86" s="3"/>
      <c r="N86" s="3"/>
    </row>
    <row r="87" spans="1:14" ht="28.5">
      <c r="A87" s="3" t="s">
        <v>626</v>
      </c>
      <c r="B87" s="3" t="s">
        <v>143</v>
      </c>
      <c r="C87" s="3" t="s">
        <v>142</v>
      </c>
      <c r="D87" s="3" t="s">
        <v>627</v>
      </c>
      <c r="E87" s="3" t="s">
        <v>628</v>
      </c>
      <c r="F87" s="3" t="s">
        <v>629</v>
      </c>
      <c r="G87" s="3" t="s">
        <v>180</v>
      </c>
      <c r="H87" s="3" t="s">
        <v>630</v>
      </c>
      <c r="I87" s="3" t="s">
        <v>60</v>
      </c>
      <c r="J87" s="3" t="s">
        <v>143</v>
      </c>
      <c r="K87" s="3" t="s">
        <v>183</v>
      </c>
      <c r="L87" s="3" t="s">
        <v>815</v>
      </c>
      <c r="M87" s="3"/>
      <c r="N87" s="3"/>
    </row>
    <row r="88" spans="1:14" ht="28.5">
      <c r="A88" s="3" t="s">
        <v>631</v>
      </c>
      <c r="B88" s="3" t="s">
        <v>143</v>
      </c>
      <c r="C88" s="3" t="s">
        <v>142</v>
      </c>
      <c r="D88" s="3" t="s">
        <v>632</v>
      </c>
      <c r="E88" s="3" t="s">
        <v>633</v>
      </c>
      <c r="F88" s="3" t="s">
        <v>634</v>
      </c>
      <c r="G88" s="3" t="s">
        <v>180</v>
      </c>
      <c r="H88" s="3" t="s">
        <v>635</v>
      </c>
      <c r="I88" s="3" t="s">
        <v>81</v>
      </c>
      <c r="J88" s="3" t="s">
        <v>143</v>
      </c>
      <c r="K88" s="3" t="s">
        <v>183</v>
      </c>
      <c r="L88" s="3" t="s">
        <v>815</v>
      </c>
      <c r="M88" s="3"/>
      <c r="N88" s="3"/>
    </row>
    <row r="89" spans="1:14" ht="28.5">
      <c r="A89" s="3" t="s">
        <v>636</v>
      </c>
      <c r="B89" s="3" t="s">
        <v>143</v>
      </c>
      <c r="C89" s="3" t="s">
        <v>142</v>
      </c>
      <c r="D89" s="3" t="s">
        <v>637</v>
      </c>
      <c r="E89" s="3" t="s">
        <v>638</v>
      </c>
      <c r="F89" s="3" t="s">
        <v>639</v>
      </c>
      <c r="G89" s="3" t="s">
        <v>180</v>
      </c>
      <c r="H89" s="3" t="s">
        <v>640</v>
      </c>
      <c r="I89" s="3" t="s">
        <v>60</v>
      </c>
      <c r="J89" s="3" t="s">
        <v>143</v>
      </c>
      <c r="K89" s="3" t="s">
        <v>183</v>
      </c>
      <c r="L89" s="3" t="s">
        <v>815</v>
      </c>
      <c r="M89" s="3"/>
      <c r="N89" s="3"/>
    </row>
    <row r="90" spans="1:14" ht="28.5">
      <c r="A90" s="3" t="s">
        <v>641</v>
      </c>
      <c r="B90" s="3" t="s">
        <v>143</v>
      </c>
      <c r="C90" s="3" t="s">
        <v>142</v>
      </c>
      <c r="D90" s="3" t="s">
        <v>642</v>
      </c>
      <c r="E90" s="3" t="s">
        <v>643</v>
      </c>
      <c r="F90" s="3" t="s">
        <v>644</v>
      </c>
      <c r="G90" s="3" t="s">
        <v>180</v>
      </c>
      <c r="H90" s="3" t="s">
        <v>645</v>
      </c>
      <c r="I90" s="3" t="s">
        <v>81</v>
      </c>
      <c r="J90" s="3" t="s">
        <v>143</v>
      </c>
      <c r="K90" s="3" t="s">
        <v>183</v>
      </c>
      <c r="L90" s="3" t="s">
        <v>815</v>
      </c>
      <c r="M90" s="3"/>
      <c r="N90" s="3"/>
    </row>
    <row r="91" spans="1:14" ht="28.5">
      <c r="A91" s="3" t="s">
        <v>646</v>
      </c>
      <c r="B91" s="3" t="s">
        <v>147</v>
      </c>
      <c r="C91" s="3" t="s">
        <v>146</v>
      </c>
      <c r="D91" s="3" t="s">
        <v>647</v>
      </c>
      <c r="E91" s="3" t="s">
        <v>648</v>
      </c>
      <c r="F91" s="3" t="s">
        <v>649</v>
      </c>
      <c r="G91" s="3" t="s">
        <v>180</v>
      </c>
      <c r="H91" s="3" t="s">
        <v>650</v>
      </c>
      <c r="I91" s="3" t="s">
        <v>66</v>
      </c>
      <c r="J91" s="3" t="s">
        <v>503</v>
      </c>
      <c r="K91" s="3" t="s">
        <v>183</v>
      </c>
      <c r="L91" s="3" t="s">
        <v>815</v>
      </c>
      <c r="M91" s="3"/>
      <c r="N91" s="3"/>
    </row>
    <row r="92" spans="1:14" ht="28.5">
      <c r="A92" s="3" t="s">
        <v>651</v>
      </c>
      <c r="B92" s="3" t="s">
        <v>147</v>
      </c>
      <c r="C92" s="3" t="s">
        <v>146</v>
      </c>
      <c r="D92" s="3" t="s">
        <v>652</v>
      </c>
      <c r="E92" s="3" t="s">
        <v>653</v>
      </c>
      <c r="F92" s="3" t="s">
        <v>654</v>
      </c>
      <c r="G92" s="3" t="s">
        <v>655</v>
      </c>
      <c r="H92" s="3" t="s">
        <v>656</v>
      </c>
      <c r="I92" s="3" t="s">
        <v>66</v>
      </c>
      <c r="J92" s="3" t="s">
        <v>503</v>
      </c>
      <c r="K92" s="3" t="s">
        <v>183</v>
      </c>
      <c r="L92" s="3" t="s">
        <v>815</v>
      </c>
      <c r="M92" s="3"/>
      <c r="N92" s="3"/>
    </row>
    <row r="93" spans="1:14" ht="28.5">
      <c r="A93" s="3" t="s">
        <v>657</v>
      </c>
      <c r="B93" s="3" t="s">
        <v>147</v>
      </c>
      <c r="C93" s="3" t="s">
        <v>146</v>
      </c>
      <c r="D93" s="3" t="s">
        <v>658</v>
      </c>
      <c r="E93" s="3" t="s">
        <v>659</v>
      </c>
      <c r="F93" s="3" t="s">
        <v>660</v>
      </c>
      <c r="G93" s="3" t="s">
        <v>661</v>
      </c>
      <c r="H93" s="3" t="s">
        <v>662</v>
      </c>
      <c r="I93" s="3" t="s">
        <v>66</v>
      </c>
      <c r="J93" s="3" t="s">
        <v>149</v>
      </c>
      <c r="K93" s="3" t="s">
        <v>183</v>
      </c>
      <c r="L93" s="3" t="s">
        <v>815</v>
      </c>
      <c r="M93" s="3"/>
      <c r="N93" s="3"/>
    </row>
  </sheetData>
  <conditionalFormatting sqref="K2:K93">
    <cfRule type="expression" dxfId="9" priority="1">
      <formula>K2="Pass"</formula>
    </cfRule>
    <cfRule type="expression" dxfId="8" priority="2">
      <formula>K2="Fail"</formula>
    </cfRule>
    <cfRule type="expression" dxfId="7" priority="3">
      <formula>K2="Blocked"</formula>
    </cfRule>
    <cfRule type="expression" dxfId="6" priority="4">
      <formula>K2="N/A"</formula>
    </cfRule>
  </conditionalFormatting>
  <dataValidations count="2">
    <dataValidation type="list" sqref="I2:I93">
      <formula1>"Critical,High,Medium,Low"</formula1>
    </dataValidation>
    <dataValidation type="list" sqref="K2:K93">
      <formula1>"Not Executed,Pass,Fail,Blocked,Retest,N/A"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topLeftCell="I1" workbookViewId="0">
      <selection activeCell="L2" sqref="L2"/>
    </sheetView>
  </sheetViews>
  <sheetFormatPr defaultRowHeight="14.25"/>
  <cols>
    <col min="1" max="1" width="14" customWidth="1"/>
    <col min="2" max="2" width="16" customWidth="1"/>
    <col min="3" max="3" width="42" customWidth="1"/>
    <col min="4" max="4" width="20" customWidth="1"/>
    <col min="5" max="5" width="12" customWidth="1"/>
    <col min="6" max="6" width="10" customWidth="1"/>
    <col min="7" max="7" width="24" customWidth="1"/>
    <col min="8" max="8" width="32" customWidth="1"/>
    <col min="9" max="9" width="52" customWidth="1"/>
    <col min="10" max="12" width="48" customWidth="1"/>
    <col min="13" max="13" width="44" customWidth="1"/>
  </cols>
  <sheetData>
    <row r="1" spans="1:13" ht="30">
      <c r="A1" s="7" t="s">
        <v>174</v>
      </c>
      <c r="B1" s="7" t="s">
        <v>824</v>
      </c>
      <c r="C1" s="7" t="s">
        <v>825</v>
      </c>
      <c r="D1" s="7" t="s">
        <v>52</v>
      </c>
      <c r="E1" s="7" t="s">
        <v>826</v>
      </c>
      <c r="F1" s="7" t="s">
        <v>54</v>
      </c>
      <c r="G1" s="7" t="s">
        <v>172</v>
      </c>
      <c r="H1" s="7" t="s">
        <v>827</v>
      </c>
      <c r="I1" s="7" t="s">
        <v>828</v>
      </c>
      <c r="J1" s="7" t="s">
        <v>170</v>
      </c>
      <c r="K1" s="7" t="s">
        <v>173</v>
      </c>
      <c r="L1" s="7" t="s">
        <v>829</v>
      </c>
      <c r="M1" s="7" t="s">
        <v>175</v>
      </c>
    </row>
    <row r="2" spans="1:13" ht="43.5">
      <c r="A2" s="3" t="s">
        <v>817</v>
      </c>
      <c r="B2" s="3" t="s">
        <v>288</v>
      </c>
      <c r="C2" s="3" t="s">
        <v>830</v>
      </c>
      <c r="D2" s="3" t="s">
        <v>88</v>
      </c>
      <c r="E2" s="3" t="s">
        <v>81</v>
      </c>
      <c r="F2" s="3" t="s">
        <v>831</v>
      </c>
      <c r="G2" s="3" t="s">
        <v>832</v>
      </c>
      <c r="H2" s="3" t="s">
        <v>833</v>
      </c>
      <c r="I2" s="3" t="s">
        <v>834</v>
      </c>
      <c r="J2" s="3" t="s">
        <v>835</v>
      </c>
      <c r="K2" s="3" t="s">
        <v>836</v>
      </c>
      <c r="L2" s="22" t="s">
        <v>837</v>
      </c>
      <c r="M2" s="3" t="s">
        <v>838</v>
      </c>
    </row>
    <row r="3" spans="1:13" ht="43.5">
      <c r="A3" s="3" t="s">
        <v>822</v>
      </c>
      <c r="B3" s="3" t="s">
        <v>587</v>
      </c>
      <c r="C3" s="3" t="s">
        <v>841</v>
      </c>
      <c r="D3" s="3" t="s">
        <v>133</v>
      </c>
      <c r="E3" s="3" t="s">
        <v>81</v>
      </c>
      <c r="F3" s="3" t="s">
        <v>831</v>
      </c>
      <c r="G3" s="3" t="s">
        <v>832</v>
      </c>
      <c r="H3" s="3" t="s">
        <v>842</v>
      </c>
      <c r="I3" s="3" t="s">
        <v>843</v>
      </c>
      <c r="J3" s="3" t="s">
        <v>844</v>
      </c>
      <c r="K3" s="3" t="s">
        <v>845</v>
      </c>
      <c r="L3" s="3" t="s">
        <v>846</v>
      </c>
      <c r="M3" s="3" t="s">
        <v>847</v>
      </c>
    </row>
    <row r="4" spans="1:13" ht="28.5">
      <c r="A4" s="3" t="s">
        <v>848</v>
      </c>
      <c r="B4" s="3" t="s">
        <v>587</v>
      </c>
      <c r="C4" s="3" t="s">
        <v>849</v>
      </c>
      <c r="D4" s="3" t="s">
        <v>133</v>
      </c>
      <c r="E4" s="3" t="s">
        <v>204</v>
      </c>
      <c r="F4" s="3" t="s">
        <v>839</v>
      </c>
      <c r="G4" s="3" t="s">
        <v>832</v>
      </c>
      <c r="H4" s="3" t="s">
        <v>850</v>
      </c>
      <c r="I4" s="3" t="s">
        <v>851</v>
      </c>
      <c r="J4" s="3" t="s">
        <v>852</v>
      </c>
      <c r="K4" s="3" t="s">
        <v>853</v>
      </c>
      <c r="L4" s="3" t="s">
        <v>6</v>
      </c>
      <c r="M4" s="3" t="s">
        <v>854</v>
      </c>
    </row>
    <row r="5" spans="1:13">
      <c r="A5" s="4"/>
      <c r="B5" s="4"/>
    </row>
  </sheetData>
  <conditionalFormatting sqref="G2:G99">
    <cfRule type="expression" dxfId="5" priority="1">
      <formula>G2="Open"</formula>
    </cfRule>
    <cfRule type="expression" dxfId="4" priority="2">
      <formula>G2="Not Reproducible"</formula>
    </cfRule>
    <cfRule type="expression" dxfId="3" priority="3">
      <formula>G2="Needs Browser Verification"</formula>
    </cfRule>
  </conditionalFormatting>
  <dataValidations count="3">
    <dataValidation type="list" sqref="D2:E99">
      <formula1>"Critical,High,Medium,Low"</formula1>
    </dataValidation>
    <dataValidation type="list" sqref="F2:F99">
      <formula1>"P0,P1,P2,P3"</formula1>
    </dataValidation>
    <dataValidation type="list" sqref="G2:G99">
      <formula1>"Open,Needs Browser Verification,Needs Product Verification,Not Reproducible,Fixed,Retest,Closed,Rejected"</formula1>
    </dataValidation>
  </dataValidations>
  <hyperlinks>
    <hyperlink ref="L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4.25"/>
  <cols>
    <col min="1" max="1" width="15" customWidth="1"/>
    <col min="2" max="2" width="60" customWidth="1"/>
    <col min="3" max="3" width="18" customWidth="1"/>
    <col min="4" max="4" width="28" customWidth="1"/>
    <col min="5" max="5" width="12" customWidth="1"/>
    <col min="6" max="6" width="24" customWidth="1"/>
  </cols>
  <sheetData>
    <row r="1" spans="1:6" ht="15">
      <c r="A1" s="1" t="s">
        <v>663</v>
      </c>
      <c r="B1" s="1" t="s">
        <v>664</v>
      </c>
      <c r="C1" s="1" t="s">
        <v>665</v>
      </c>
      <c r="D1" s="1" t="s">
        <v>666</v>
      </c>
      <c r="E1" s="1" t="s">
        <v>54</v>
      </c>
      <c r="F1" s="1" t="s">
        <v>667</v>
      </c>
    </row>
    <row r="2" spans="1:6">
      <c r="A2" s="3" t="s">
        <v>668</v>
      </c>
      <c r="B2" s="3" t="s">
        <v>669</v>
      </c>
      <c r="C2" s="3" t="s">
        <v>57</v>
      </c>
      <c r="D2" s="3" t="s">
        <v>670</v>
      </c>
      <c r="E2" s="3" t="s">
        <v>66</v>
      </c>
      <c r="F2" s="3" t="str">
        <f>IF(COUNTIF('Test Cases'!K2:K6,"Fail")&gt;0,"Executed - Fail",IF(COUNTIF('Test Cases'!K2:K6,"Blocked")&gt;0,"Executed - Blocked",IF(COUNTIF('Test Cases'!K2:K6,"Not Executed")&gt;0,"Partially Executed",IF(COUNTIF('Test Cases'!K2:K6,"N/A")&gt;0,"Executed - Pass with N/A","Executed - Pass"))))</f>
        <v>Executed - Pass</v>
      </c>
    </row>
    <row r="3" spans="1:6">
      <c r="A3" s="3" t="s">
        <v>671</v>
      </c>
      <c r="B3" s="3" t="s">
        <v>672</v>
      </c>
      <c r="C3" s="3" t="s">
        <v>673</v>
      </c>
      <c r="D3" s="3" t="s">
        <v>674</v>
      </c>
      <c r="E3" s="3" t="s">
        <v>66</v>
      </c>
      <c r="F3" s="3" t="str">
        <f>IF(COUNTIF('Test Cases'!K7:K14,"Fail")&gt;0,"Executed - Fail",IF(COUNTIF('Test Cases'!K7:K14,"Blocked")&gt;0,"Executed - Blocked",IF(COUNTIF('Test Cases'!K7:K14,"Not Executed")&gt;0,"Partially Executed",IF(COUNTIF('Test Cases'!K7:K14,"N/A")&gt;0,"Executed - Pass with N/A","Executed - Pass"))))</f>
        <v>Executed - Pass</v>
      </c>
    </row>
    <row r="4" spans="1:6">
      <c r="A4" s="3" t="s">
        <v>675</v>
      </c>
      <c r="B4" s="3" t="s">
        <v>676</v>
      </c>
      <c r="C4" s="3" t="s">
        <v>677</v>
      </c>
      <c r="D4" s="3" t="s">
        <v>678</v>
      </c>
      <c r="E4" s="3" t="s">
        <v>60</v>
      </c>
      <c r="F4" s="3" t="str">
        <f>IF(COUNTIF('Test Cases'!K15:K21,"Fail")&gt;0,"Executed - Fail",IF(COUNTIF('Test Cases'!K15:K21,"Blocked")&gt;0,"Executed - Blocked",IF(COUNTIF('Test Cases'!K15:K21,"Not Executed")&gt;0,"Partially Executed",IF(COUNTIF('Test Cases'!K15:K21,"N/A")&gt;0,"Executed - Pass with N/A","Executed - Pass"))))</f>
        <v>Executed - Pass</v>
      </c>
    </row>
    <row r="5" spans="1:6" ht="15">
      <c r="A5" s="3" t="s">
        <v>679</v>
      </c>
      <c r="B5" s="3" t="s">
        <v>680</v>
      </c>
      <c r="C5" s="3" t="s">
        <v>681</v>
      </c>
      <c r="D5" s="3" t="s">
        <v>682</v>
      </c>
      <c r="E5" s="3" t="s">
        <v>66</v>
      </c>
      <c r="F5" s="3" t="str">
        <f>IF(COUNTIF('Test Cases'!K22:K30,"Fail")&gt;0,"Executed - Fail",IF(COUNTIF('Test Cases'!K22:K30,"Blocked")&gt;0,"Executed - Blocked",IF(COUNTIF('Test Cases'!K22:K30,"Not Executed")&gt;0,"Partially Executed",IF(COUNTIF('Test Cases'!K22:K30,"N/A")&gt;0,"Executed - Pass with N/A","Executed - Pass"))))</f>
        <v>Executed - Fail</v>
      </c>
    </row>
    <row r="6" spans="1:6">
      <c r="A6" s="3" t="s">
        <v>683</v>
      </c>
      <c r="B6" s="3" t="s">
        <v>684</v>
      </c>
      <c r="C6" s="3" t="s">
        <v>685</v>
      </c>
      <c r="D6" s="3" t="s">
        <v>686</v>
      </c>
      <c r="E6" s="3" t="s">
        <v>66</v>
      </c>
      <c r="F6" s="3" t="str">
        <f>IF(COUNTIF('Test Cases'!K31:K40,"Fail")&gt;0,"Executed - Fail",IF(COUNTIF('Test Cases'!K31:K40,"Blocked")&gt;0,"Executed - Blocked",IF(COUNTIF('Test Cases'!K31:K40,"Not Executed")&gt;0,"Partially Executed",IF(COUNTIF('Test Cases'!K31:K40,"N/A")&gt;0,"Executed - Pass with N/A","Executed - Pass"))))</f>
        <v>Executed - Pass</v>
      </c>
    </row>
    <row r="7" spans="1:6">
      <c r="A7" s="3" t="s">
        <v>687</v>
      </c>
      <c r="B7" s="3" t="s">
        <v>688</v>
      </c>
      <c r="C7" s="3" t="s">
        <v>689</v>
      </c>
      <c r="D7" s="3" t="s">
        <v>690</v>
      </c>
      <c r="E7" s="3" t="s">
        <v>66</v>
      </c>
      <c r="F7" s="3" t="str">
        <f>IF(COUNTIF('Test Cases'!K41:K49,"Fail")&gt;0,"Executed - Fail",IF(COUNTIF('Test Cases'!K41:K49,"Blocked")&gt;0,"Executed - Blocked",IF(COUNTIF('Test Cases'!K41:K49,"Not Executed")&gt;0,"Partially Executed",IF(COUNTIF('Test Cases'!K41:K49,"N/A")&gt;0,"Executed - Pass with N/A","Executed - Pass"))))</f>
        <v>Executed - Pass</v>
      </c>
    </row>
    <row r="8" spans="1:6">
      <c r="A8" s="3" t="s">
        <v>691</v>
      </c>
      <c r="B8" s="3" t="s">
        <v>692</v>
      </c>
      <c r="C8" s="3" t="s">
        <v>111</v>
      </c>
      <c r="D8" s="3" t="s">
        <v>693</v>
      </c>
      <c r="E8" s="3" t="s">
        <v>60</v>
      </c>
      <c r="F8" s="3" t="str">
        <f>IF(COUNTIF('Test Cases'!K50:K58,"Fail")&gt;0,"Executed - Fail",IF(COUNTIF('Test Cases'!K50:K58,"Blocked")&gt;0,"Executed - Blocked",IF(COUNTIF('Test Cases'!K50:K58,"Not Executed")&gt;0,"Partially Executed",IF(COUNTIF('Test Cases'!K50:K58,"N/A")&gt;0,"Executed - Pass with N/A","Executed - Pass"))))</f>
        <v>Executed - Pass</v>
      </c>
    </row>
    <row r="9" spans="1:6">
      <c r="A9" s="3" t="s">
        <v>694</v>
      </c>
      <c r="B9" s="3" t="s">
        <v>695</v>
      </c>
      <c r="C9" s="3" t="s">
        <v>116</v>
      </c>
      <c r="D9" s="3" t="s">
        <v>696</v>
      </c>
      <c r="E9" s="3" t="s">
        <v>60</v>
      </c>
      <c r="F9" s="3" t="str">
        <f>IF(COUNTIF('Test Cases'!K59:K63,"Fail")&gt;0,"Executed - Fail",IF(COUNTIF('Test Cases'!K59:K63,"Blocked")&gt;0,"Executed - Blocked",IF(COUNTIF('Test Cases'!K59:K63,"Not Executed")&gt;0,"Partially Executed",IF(COUNTIF('Test Cases'!K59:K63,"N/A")&gt;0,"Executed - Pass with N/A","Executed - Pass"))))</f>
        <v>Executed - Pass</v>
      </c>
    </row>
    <row r="10" spans="1:6">
      <c r="A10" s="3" t="s">
        <v>697</v>
      </c>
      <c r="B10" s="3" t="s">
        <v>698</v>
      </c>
      <c r="C10" s="3" t="s">
        <v>699</v>
      </c>
      <c r="D10" s="3" t="s">
        <v>700</v>
      </c>
      <c r="E10" s="3" t="s">
        <v>66</v>
      </c>
      <c r="F10" s="3" t="str">
        <f>IF(COUNTIF('Test Cases'!K64:K72,"Fail")&gt;0,"Executed - Fail",IF(COUNTIF('Test Cases'!K64:K72,"Blocked")&gt;0,"Executed - Blocked",IF(COUNTIF('Test Cases'!K64:K72,"Not Executed")&gt;0,"Partially Executed",IF(COUNTIF('Test Cases'!K64:K72,"N/A")&gt;0,"Executed - Pass with N/A","Executed - Pass"))))</f>
        <v>Executed - Pass with N/A</v>
      </c>
    </row>
    <row r="11" spans="1:6">
      <c r="A11" s="3" t="s">
        <v>701</v>
      </c>
      <c r="B11" s="3" t="s">
        <v>702</v>
      </c>
      <c r="C11" s="3" t="s">
        <v>127</v>
      </c>
      <c r="D11" s="3" t="s">
        <v>703</v>
      </c>
      <c r="E11" s="3" t="s">
        <v>60</v>
      </c>
      <c r="F11" s="3" t="str">
        <f>IF(COUNTIF('Test Cases'!K73:K76,"Fail")&gt;0,"Executed - Fail",IF(COUNTIF('Test Cases'!K73:K76,"Blocked")&gt;0,"Executed - Blocked",IF(COUNTIF('Test Cases'!K73:K76,"Not Executed")&gt;0,"Partially Executed",IF(COUNTIF('Test Cases'!K73:K76,"N/A")&gt;0,"Executed - Pass with N/A","Executed - Pass"))))</f>
        <v>Executed - Pass</v>
      </c>
    </row>
    <row r="12" spans="1:6" ht="15">
      <c r="A12" s="3" t="s">
        <v>704</v>
      </c>
      <c r="B12" s="3" t="s">
        <v>705</v>
      </c>
      <c r="C12" s="3" t="s">
        <v>132</v>
      </c>
      <c r="D12" s="3" t="s">
        <v>706</v>
      </c>
      <c r="E12" s="3" t="s">
        <v>81</v>
      </c>
      <c r="F12" s="3" t="str">
        <f>IF(COUNTIF('Test Cases'!K77:K82,"Fail")&gt;0,"Executed - Fail",IF(COUNTIF('Test Cases'!K77:K82,"Blocked")&gt;0,"Executed - Blocked",IF(COUNTIF('Test Cases'!K77:K82,"Not Executed")&gt;0,"Partially Executed",IF(COUNTIF('Test Cases'!K77:K82,"N/A")&gt;0,"Executed - Pass with N/A","Executed - Pass"))))</f>
        <v>Executed - Fail</v>
      </c>
    </row>
    <row r="13" spans="1:6">
      <c r="A13" s="3" t="s">
        <v>707</v>
      </c>
      <c r="B13" s="3" t="s">
        <v>708</v>
      </c>
      <c r="C13" s="3" t="s">
        <v>137</v>
      </c>
      <c r="D13" s="3" t="s">
        <v>709</v>
      </c>
      <c r="E13" s="3" t="s">
        <v>60</v>
      </c>
      <c r="F13" s="3" t="str">
        <f>IF(COUNTIF('Test Cases'!K83:K86,"Fail")&gt;0,"Executed - Fail",IF(COUNTIF('Test Cases'!K83:K86,"Blocked")&gt;0,"Executed - Blocked",IF(COUNTIF('Test Cases'!K83:K86,"Not Executed")&gt;0,"Partially Executed",IF(COUNTIF('Test Cases'!K83:K86,"N/A")&gt;0,"Executed - Pass with N/A","Executed - Pass"))))</f>
        <v>Executed - Pass</v>
      </c>
    </row>
    <row r="14" spans="1:6">
      <c r="A14" s="3" t="s">
        <v>710</v>
      </c>
      <c r="B14" s="3" t="s">
        <v>711</v>
      </c>
      <c r="C14" s="3" t="s">
        <v>142</v>
      </c>
      <c r="D14" s="3" t="s">
        <v>712</v>
      </c>
      <c r="E14" s="3" t="s">
        <v>81</v>
      </c>
      <c r="F14" s="3" t="str">
        <f>IF(COUNTIF('Test Cases'!K87:K90,"Fail")&gt;0,"Executed - Fail",IF(COUNTIF('Test Cases'!K87:K90,"Blocked")&gt;0,"Executed - Blocked",IF(COUNTIF('Test Cases'!K87:K90,"Not Executed")&gt;0,"Partially Executed",IF(COUNTIF('Test Cases'!K87:K90,"N/A")&gt;0,"Executed - Pass with N/A","Executed - Pass"))))</f>
        <v>Executed - Pass</v>
      </c>
    </row>
    <row r="15" spans="1:6">
      <c r="A15" s="3" t="s">
        <v>713</v>
      </c>
      <c r="B15" s="3" t="s">
        <v>714</v>
      </c>
      <c r="C15" s="3" t="s">
        <v>146</v>
      </c>
      <c r="D15" s="3" t="s">
        <v>715</v>
      </c>
      <c r="E15" s="3" t="s">
        <v>60</v>
      </c>
      <c r="F15" s="3" t="str">
        <f>IF(COUNTIF('Test Cases'!K91:K93,"Fail")&gt;0,"Executed - Fail",IF(COUNTIF('Test Cases'!K91:K93,"Blocked")&gt;0,"Executed - Blocked",IF(COUNTIF('Test Cases'!K91:K93,"Not Executed")&gt;0,"Partially Executed",IF(COUNTIF('Test Cases'!K91:K93,"N/A")&gt;0,"Executed - Pass with N/A","Executed - Pass"))))</f>
        <v>Executed - Pass</v>
      </c>
    </row>
  </sheetData>
  <conditionalFormatting sqref="F2:F15">
    <cfRule type="expression" dxfId="2" priority="1">
      <formula>F2="Executed - Pass"</formula>
    </cfRule>
    <cfRule type="expression" dxfId="1" priority="2">
      <formula>F2="Executed - Fail"</formula>
    </cfRule>
    <cfRule type="expression" dxfId="0" priority="3">
      <formula>F2="Executed - Pass with N/A"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4.25"/>
  <cols>
    <col min="1" max="1" width="12" customWidth="1"/>
    <col min="2" max="2" width="18" customWidth="1"/>
    <col min="3" max="3" width="16" customWidth="1"/>
    <col min="4" max="4" width="32" customWidth="1"/>
    <col min="5" max="5" width="55" customWidth="1"/>
    <col min="6" max="6" width="12" customWidth="1"/>
  </cols>
  <sheetData>
    <row r="1" spans="1:6" ht="15">
      <c r="A1" s="1" t="s">
        <v>716</v>
      </c>
      <c r="B1" s="1" t="s">
        <v>1</v>
      </c>
      <c r="C1" s="1" t="s">
        <v>717</v>
      </c>
      <c r="D1" s="1" t="s">
        <v>718</v>
      </c>
      <c r="E1" s="1" t="s">
        <v>719</v>
      </c>
      <c r="F1" s="1" t="s">
        <v>720</v>
      </c>
    </row>
    <row r="2" spans="1:6">
      <c r="A2" s="3" t="s">
        <v>721</v>
      </c>
      <c r="B2" s="3" t="s">
        <v>722</v>
      </c>
      <c r="C2" s="3" t="s">
        <v>723</v>
      </c>
      <c r="D2" s="3" t="s">
        <v>214</v>
      </c>
      <c r="E2" s="3" t="s">
        <v>724</v>
      </c>
      <c r="F2" s="3" t="s">
        <v>725</v>
      </c>
    </row>
    <row r="3" spans="1:6">
      <c r="A3" s="3" t="s">
        <v>726</v>
      </c>
      <c r="B3" s="3" t="s">
        <v>722</v>
      </c>
      <c r="C3" s="3" t="s">
        <v>723</v>
      </c>
      <c r="D3" s="3" t="s">
        <v>209</v>
      </c>
      <c r="E3" s="3" t="s">
        <v>727</v>
      </c>
      <c r="F3" s="3" t="s">
        <v>725</v>
      </c>
    </row>
    <row r="4" spans="1:6">
      <c r="A4" s="3" t="s">
        <v>728</v>
      </c>
      <c r="B4" s="3" t="s">
        <v>722</v>
      </c>
      <c r="C4" s="3" t="s">
        <v>729</v>
      </c>
      <c r="D4" s="3" t="s">
        <v>230</v>
      </c>
      <c r="E4" s="3" t="s">
        <v>730</v>
      </c>
      <c r="F4" s="3" t="s">
        <v>725</v>
      </c>
    </row>
    <row r="5" spans="1:6">
      <c r="A5" s="3" t="s">
        <v>731</v>
      </c>
      <c r="B5" s="3" t="s">
        <v>722</v>
      </c>
      <c r="C5" s="3" t="s">
        <v>729</v>
      </c>
      <c r="D5" s="3" t="s">
        <v>235</v>
      </c>
      <c r="E5" s="3" t="s">
        <v>732</v>
      </c>
      <c r="F5" s="3" t="s">
        <v>725</v>
      </c>
    </row>
    <row r="6" spans="1:6" ht="28.5">
      <c r="A6" s="3" t="s">
        <v>733</v>
      </c>
      <c r="B6" s="3" t="s">
        <v>734</v>
      </c>
      <c r="C6" s="3" t="s">
        <v>723</v>
      </c>
      <c r="D6" s="3" t="s">
        <v>735</v>
      </c>
      <c r="E6" s="3" t="s">
        <v>736</v>
      </c>
      <c r="F6" s="3" t="s">
        <v>725</v>
      </c>
    </row>
    <row r="7" spans="1:6">
      <c r="A7" s="3" t="s">
        <v>737</v>
      </c>
      <c r="B7" s="3" t="s">
        <v>734</v>
      </c>
      <c r="C7" s="3" t="s">
        <v>738</v>
      </c>
      <c r="D7" s="3" t="s">
        <v>402</v>
      </c>
      <c r="E7" s="3" t="s">
        <v>739</v>
      </c>
      <c r="F7" s="3" t="s">
        <v>725</v>
      </c>
    </row>
    <row r="8" spans="1:6">
      <c r="A8" s="3" t="s">
        <v>740</v>
      </c>
      <c r="B8" s="3" t="s">
        <v>734</v>
      </c>
      <c r="C8" s="3" t="s">
        <v>738</v>
      </c>
      <c r="D8" s="3" t="s">
        <v>741</v>
      </c>
      <c r="E8" s="3" t="s">
        <v>739</v>
      </c>
      <c r="F8" s="3" t="s">
        <v>725</v>
      </c>
    </row>
    <row r="9" spans="1:6">
      <c r="A9" s="3" t="s">
        <v>742</v>
      </c>
      <c r="B9" s="3" t="s">
        <v>743</v>
      </c>
      <c r="C9" s="3" t="s">
        <v>744</v>
      </c>
      <c r="D9" s="3" t="s">
        <v>516</v>
      </c>
      <c r="E9" s="3" t="s">
        <v>745</v>
      </c>
      <c r="F9" s="3" t="s">
        <v>725</v>
      </c>
    </row>
    <row r="10" spans="1:6">
      <c r="A10" s="3" t="s">
        <v>746</v>
      </c>
      <c r="B10" s="3" t="s">
        <v>743</v>
      </c>
      <c r="C10" s="3" t="s">
        <v>738</v>
      </c>
      <c r="D10" s="3" t="s">
        <v>458</v>
      </c>
      <c r="E10" s="3" t="s">
        <v>747</v>
      </c>
      <c r="F10" s="3" t="s">
        <v>725</v>
      </c>
    </row>
    <row r="11" spans="1:6">
      <c r="A11" s="3" t="s">
        <v>748</v>
      </c>
      <c r="B11" s="3" t="s">
        <v>743</v>
      </c>
      <c r="C11" s="3" t="s">
        <v>738</v>
      </c>
      <c r="D11" s="3" t="s">
        <v>463</v>
      </c>
      <c r="E11" s="3" t="s">
        <v>749</v>
      </c>
      <c r="F11" s="3" t="s">
        <v>725</v>
      </c>
    </row>
    <row r="12" spans="1:6">
      <c r="A12" s="3" t="s">
        <v>750</v>
      </c>
      <c r="B12" s="3" t="s">
        <v>751</v>
      </c>
      <c r="C12" s="3" t="s">
        <v>752</v>
      </c>
      <c r="D12" s="3" t="s">
        <v>753</v>
      </c>
      <c r="E12" s="3" t="s">
        <v>754</v>
      </c>
      <c r="F12" s="3" t="s">
        <v>725</v>
      </c>
    </row>
    <row r="13" spans="1:6">
      <c r="A13" s="3" t="s">
        <v>755</v>
      </c>
      <c r="B13" s="3" t="s">
        <v>751</v>
      </c>
      <c r="C13" s="3" t="s">
        <v>756</v>
      </c>
      <c r="D13" s="3" t="s">
        <v>473</v>
      </c>
      <c r="E13" s="3" t="s">
        <v>757</v>
      </c>
      <c r="F13" s="3" t="s">
        <v>725</v>
      </c>
    </row>
    <row r="14" spans="1:6">
      <c r="A14" s="3" t="s">
        <v>758</v>
      </c>
      <c r="B14" s="3" t="s">
        <v>759</v>
      </c>
      <c r="C14" s="3" t="s">
        <v>760</v>
      </c>
      <c r="D14" s="3" t="s">
        <v>761</v>
      </c>
      <c r="E14" s="3" t="s">
        <v>762</v>
      </c>
      <c r="F14" s="3" t="s">
        <v>725</v>
      </c>
    </row>
    <row r="15" spans="1:6">
      <c r="A15" s="3" t="s">
        <v>763</v>
      </c>
      <c r="B15" s="3" t="s">
        <v>764</v>
      </c>
      <c r="C15" s="3" t="s">
        <v>729</v>
      </c>
      <c r="D15" s="3" t="s">
        <v>765</v>
      </c>
      <c r="E15" s="3" t="s">
        <v>766</v>
      </c>
      <c r="F15" s="3" t="s">
        <v>725</v>
      </c>
    </row>
    <row r="16" spans="1:6">
      <c r="A16" s="3" t="s">
        <v>767</v>
      </c>
      <c r="B16" s="3" t="s">
        <v>764</v>
      </c>
      <c r="C16" s="3" t="s">
        <v>729</v>
      </c>
      <c r="D16" s="3" t="s">
        <v>661</v>
      </c>
      <c r="E16" s="3" t="s">
        <v>768</v>
      </c>
      <c r="F16" s="3" t="s">
        <v>725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4.25"/>
  <cols>
    <col min="1" max="1" width="14" customWidth="1"/>
    <col min="2" max="2" width="55" customWidth="1"/>
    <col min="3" max="3" width="12" customWidth="1"/>
    <col min="4" max="4" width="48" customWidth="1"/>
    <col min="5" max="5" width="42" customWidth="1"/>
    <col min="6" max="6" width="28" customWidth="1"/>
  </cols>
  <sheetData>
    <row r="1" spans="1:6" ht="15">
      <c r="A1" s="1" t="s">
        <v>769</v>
      </c>
      <c r="B1" s="1" t="s">
        <v>770</v>
      </c>
      <c r="C1" s="1" t="s">
        <v>771</v>
      </c>
      <c r="D1" s="1" t="s">
        <v>772</v>
      </c>
      <c r="E1" s="1" t="s">
        <v>773</v>
      </c>
      <c r="F1" s="1" t="s">
        <v>774</v>
      </c>
    </row>
    <row r="2" spans="1:6">
      <c r="A2" s="3" t="s">
        <v>775</v>
      </c>
      <c r="B2" s="3" t="s">
        <v>776</v>
      </c>
      <c r="C2" s="3" t="s">
        <v>777</v>
      </c>
      <c r="D2" s="3" t="s">
        <v>778</v>
      </c>
      <c r="E2" s="3" t="s">
        <v>779</v>
      </c>
      <c r="F2" s="3" t="s">
        <v>780</v>
      </c>
    </row>
    <row r="3" spans="1:6" ht="28.5">
      <c r="A3" s="3" t="s">
        <v>781</v>
      </c>
      <c r="B3" s="3" t="s">
        <v>782</v>
      </c>
      <c r="C3" s="3" t="s">
        <v>777</v>
      </c>
      <c r="D3" s="3" t="s">
        <v>783</v>
      </c>
      <c r="E3" s="3" t="s">
        <v>784</v>
      </c>
      <c r="F3" s="3" t="s">
        <v>780</v>
      </c>
    </row>
    <row r="4" spans="1:6" ht="28.5">
      <c r="A4" s="3" t="s">
        <v>785</v>
      </c>
      <c r="B4" s="3" t="s">
        <v>786</v>
      </c>
      <c r="C4" s="3" t="s">
        <v>787</v>
      </c>
      <c r="D4" s="3" t="s">
        <v>788</v>
      </c>
      <c r="E4" s="3" t="s">
        <v>789</v>
      </c>
      <c r="F4" s="3" t="s">
        <v>780</v>
      </c>
    </row>
    <row r="5" spans="1:6" ht="28.5">
      <c r="A5" s="3" t="s">
        <v>790</v>
      </c>
      <c r="B5" s="3" t="s">
        <v>791</v>
      </c>
      <c r="C5" s="3" t="s">
        <v>777</v>
      </c>
      <c r="D5" s="3" t="s">
        <v>792</v>
      </c>
      <c r="E5" s="3" t="s">
        <v>793</v>
      </c>
      <c r="F5" s="3" t="s">
        <v>780</v>
      </c>
    </row>
    <row r="6" spans="1:6">
      <c r="A6" s="3" t="s">
        <v>794</v>
      </c>
      <c r="B6" s="3" t="s">
        <v>795</v>
      </c>
      <c r="C6" s="3" t="s">
        <v>777</v>
      </c>
      <c r="D6" s="3" t="s">
        <v>796</v>
      </c>
      <c r="E6" s="3" t="s">
        <v>797</v>
      </c>
      <c r="F6" s="3" t="s">
        <v>780</v>
      </c>
    </row>
    <row r="7" spans="1:6">
      <c r="A7" s="3" t="s">
        <v>798</v>
      </c>
      <c r="B7" s="3" t="s">
        <v>799</v>
      </c>
      <c r="C7" s="3" t="s">
        <v>800</v>
      </c>
      <c r="D7" s="3" t="s">
        <v>801</v>
      </c>
      <c r="E7" s="3" t="s">
        <v>802</v>
      </c>
      <c r="F7" s="3" t="s">
        <v>803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sqref="A1:H1"/>
    </sheetView>
  </sheetViews>
  <sheetFormatPr defaultRowHeight="14.25"/>
  <cols>
    <col min="1" max="1" width="24" customWidth="1"/>
    <col min="2" max="2" width="18" customWidth="1"/>
    <col min="3" max="3" width="3" customWidth="1"/>
    <col min="4" max="4" width="24" customWidth="1"/>
    <col min="5" max="8" width="18" customWidth="1"/>
  </cols>
  <sheetData>
    <row r="1" spans="1:8" ht="20.25">
      <c r="A1" s="15" t="s">
        <v>804</v>
      </c>
      <c r="B1" s="15"/>
      <c r="C1" s="15"/>
      <c r="D1" s="15"/>
      <c r="E1" s="15"/>
      <c r="F1" s="15"/>
      <c r="G1" s="15"/>
      <c r="H1" s="15"/>
    </row>
    <row r="3" spans="1:8" ht="15">
      <c r="A3" s="7" t="s">
        <v>855</v>
      </c>
      <c r="B3" s="7" t="s">
        <v>856</v>
      </c>
      <c r="D3" s="7" t="s">
        <v>857</v>
      </c>
      <c r="E3" s="7" t="s">
        <v>856</v>
      </c>
    </row>
    <row r="4" spans="1:8" ht="15">
      <c r="A4" s="9" t="s">
        <v>858</v>
      </c>
      <c r="B4" s="11">
        <f>COUNTA('Test Cases'!A2:A93)</f>
        <v>92</v>
      </c>
      <c r="D4" s="9" t="s">
        <v>859</v>
      </c>
      <c r="E4">
        <f>COUNTIF('Defect Log'!G2:G99,"Open")</f>
        <v>3</v>
      </c>
    </row>
    <row r="5" spans="1:8" ht="15">
      <c r="A5" s="9" t="s">
        <v>860</v>
      </c>
      <c r="B5" s="11">
        <f>COUNTIF('Test Cases'!K2:K93,"Pass")+COUNTIF('Test Cases'!K2:K93,"Fail")+COUNTIF('Test Cases'!K2:K93,"Blocked")+COUNTIF('Test Cases'!K2:K93,"Retest")</f>
        <v>91</v>
      </c>
      <c r="D5" s="9" t="s">
        <v>861</v>
      </c>
      <c r="E5">
        <f>COUNTIFS('Defect Log'!E2:E99,"Medium",'Defect Log'!G2:G99,"Open")</f>
        <v>2</v>
      </c>
    </row>
    <row r="6" spans="1:8" ht="15">
      <c r="A6" s="9" t="s">
        <v>862</v>
      </c>
      <c r="B6" s="11">
        <f>COUNTIF('Test Cases'!K2:K93,"Pass")</f>
        <v>89</v>
      </c>
      <c r="D6" s="9" t="s">
        <v>863</v>
      </c>
      <c r="E6">
        <f>COUNTIFS('Defect Log'!E2:E99,"Low",'Defect Log'!G2:G99,"Open")</f>
        <v>1</v>
      </c>
    </row>
    <row r="7" spans="1:8" ht="15">
      <c r="A7" s="9" t="s">
        <v>864</v>
      </c>
      <c r="B7" s="11">
        <f>COUNTIF('Test Cases'!K2:K93,"Fail")</f>
        <v>2</v>
      </c>
      <c r="D7" s="9" t="s">
        <v>865</v>
      </c>
      <c r="E7">
        <f>COUNTIF('Defect Log'!G2:G99,"Needs Browser Verification")+COUNTIF('Defect Log'!G2:G99,"Needs Product Verification")</f>
        <v>0</v>
      </c>
    </row>
    <row r="8" spans="1:8" ht="15">
      <c r="A8" s="9" t="s">
        <v>866</v>
      </c>
      <c r="B8" s="11">
        <f>COUNTIF('Test Cases'!K2:K93,"Blocked")</f>
        <v>0</v>
      </c>
      <c r="D8" s="9" t="s">
        <v>840</v>
      </c>
      <c r="E8">
        <f>COUNTIF('Defect Log'!G2:G99,"Not Reproducible")</f>
        <v>0</v>
      </c>
    </row>
    <row r="9" spans="1:8" ht="15">
      <c r="A9" s="9" t="s">
        <v>180</v>
      </c>
      <c r="B9" s="12">
        <f>COUNTIF('Test Cases'!K2:K93,"N/A")</f>
        <v>1</v>
      </c>
      <c r="D9" s="9" t="s">
        <v>867</v>
      </c>
      <c r="E9" t="s">
        <v>81</v>
      </c>
    </row>
    <row r="10" spans="1:8" ht="15">
      <c r="A10" s="10" t="s">
        <v>868</v>
      </c>
      <c r="B10" s="5">
        <f>IF(B5=0,0,B6/B5)</f>
        <v>0.97802197802197799</v>
      </c>
    </row>
    <row r="12" spans="1:8" ht="15">
      <c r="A12" s="7" t="s">
        <v>172</v>
      </c>
      <c r="B12" s="7" t="s">
        <v>869</v>
      </c>
    </row>
    <row r="13" spans="1:8">
      <c r="A13" t="s">
        <v>870</v>
      </c>
      <c r="B13">
        <f>COUNTIF('Test Cases'!K2:K93,"Not Executed")</f>
        <v>0</v>
      </c>
    </row>
    <row r="14" spans="1:8">
      <c r="A14" t="s">
        <v>183</v>
      </c>
      <c r="B14">
        <f>COUNTIF('Test Cases'!K2:K93,"Pass")</f>
        <v>89</v>
      </c>
    </row>
    <row r="15" spans="1:8">
      <c r="A15" t="s">
        <v>293</v>
      </c>
      <c r="B15">
        <f>COUNTIF('Test Cases'!K2:K93,"Fail")</f>
        <v>2</v>
      </c>
    </row>
    <row r="16" spans="1:8">
      <c r="A16" t="s">
        <v>866</v>
      </c>
      <c r="B16">
        <f>COUNTIF('Test Cases'!K2:K93,"Blocked")</f>
        <v>0</v>
      </c>
    </row>
    <row r="17" spans="1:8">
      <c r="A17" t="s">
        <v>871</v>
      </c>
      <c r="B17">
        <f>COUNTIF('Test Cases'!K2:K93,"Retest")</f>
        <v>0</v>
      </c>
    </row>
    <row r="18" spans="1:8">
      <c r="A18" t="s">
        <v>180</v>
      </c>
      <c r="B18">
        <f>COUNTIF('Test Cases'!K2:K93,"N/A")</f>
        <v>1</v>
      </c>
    </row>
    <row r="20" spans="1:8" ht="15">
      <c r="A20" s="8" t="s">
        <v>872</v>
      </c>
      <c r="B20" s="8" t="s">
        <v>856</v>
      </c>
    </row>
    <row r="21" spans="1:8" ht="15">
      <c r="A21" s="9" t="s">
        <v>873</v>
      </c>
      <c r="B21" s="3">
        <v>0</v>
      </c>
    </row>
    <row r="22" spans="1:8" ht="15">
      <c r="A22" s="9" t="s">
        <v>874</v>
      </c>
      <c r="B22" s="3">
        <v>2</v>
      </c>
    </row>
    <row r="23" spans="1:8" ht="15">
      <c r="A23" s="9" t="s">
        <v>859</v>
      </c>
      <c r="B23" s="3">
        <f>COUNTIF('Defect Log'!G2:G99,"Open")</f>
        <v>3</v>
      </c>
    </row>
    <row r="24" spans="1:8" ht="32.1" customHeight="1">
      <c r="A24" s="9" t="s">
        <v>875</v>
      </c>
      <c r="B24" s="3" t="s">
        <v>876</v>
      </c>
    </row>
    <row r="27" spans="1:8" ht="15">
      <c r="A27" s="19"/>
      <c r="B27" s="19"/>
      <c r="C27" s="19"/>
      <c r="D27" s="19"/>
      <c r="E27" s="19"/>
      <c r="F27" s="19"/>
      <c r="G27" s="19"/>
      <c r="H27" s="19"/>
    </row>
    <row r="28" spans="1:8" ht="24" customHeight="1">
      <c r="A28" s="20" t="s">
        <v>877</v>
      </c>
      <c r="B28" s="20"/>
      <c r="C28" s="20"/>
      <c r="D28" s="20"/>
      <c r="E28" s="20"/>
      <c r="F28" s="20"/>
      <c r="G28" s="20"/>
      <c r="H28" s="20"/>
    </row>
    <row r="29" spans="1:8" ht="54" customHeight="1">
      <c r="A29" s="21" t="s">
        <v>878</v>
      </c>
      <c r="B29" s="21"/>
      <c r="C29" s="21"/>
      <c r="D29" s="21"/>
      <c r="E29" s="21"/>
      <c r="F29" s="21"/>
      <c r="G29" s="21"/>
      <c r="H29" s="21"/>
    </row>
    <row r="30" spans="1:8" ht="8.1" customHeight="1">
      <c r="A30" s="13"/>
      <c r="B30" s="13"/>
      <c r="C30" s="13"/>
      <c r="D30" s="13"/>
      <c r="E30" s="13"/>
      <c r="F30" s="13"/>
      <c r="G30" s="13"/>
      <c r="H30" s="13"/>
    </row>
    <row r="31" spans="1:8" ht="8.1" customHeight="1">
      <c r="A31" s="13"/>
      <c r="B31" s="13"/>
      <c r="C31" s="13"/>
      <c r="D31" s="13"/>
      <c r="E31" s="13"/>
      <c r="F31" s="13"/>
      <c r="G31" s="13"/>
      <c r="H31" s="13"/>
    </row>
  </sheetData>
  <mergeCells count="4">
    <mergeCell ref="A1:H1"/>
    <mergeCell ref="A27:H27"/>
    <mergeCell ref="A28:H28"/>
    <mergeCell ref="A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 Overview</vt:lpstr>
      <vt:lpstr>Test Plan</vt:lpstr>
      <vt:lpstr>Test Scenarios</vt:lpstr>
      <vt:lpstr>Test Cases</vt:lpstr>
      <vt:lpstr>Defect Log</vt:lpstr>
      <vt:lpstr>RTM</vt:lpstr>
      <vt:lpstr>Test Data</vt:lpstr>
      <vt:lpstr>Exploratory Charters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</dc:creator>
  <cp:lastModifiedBy>User</cp:lastModifiedBy>
  <dcterms:modified xsi:type="dcterms:W3CDTF">2026-08-28T14:57:59Z</dcterms:modified>
</cp:coreProperties>
</file>